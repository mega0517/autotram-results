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요약" sheetId="1" state="visible" r:id="rId3"/>
    <sheet name="1_갭분석" sheetId="2" state="visible" r:id="rId4"/>
    <sheet name="2_추가실험" sheetId="3" state="visible" r:id="rId5"/>
    <sheet name="3_현재산출물" sheetId="4" state="visible" r:id="rId6"/>
    <sheet name="4_2편분리안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<sst xmlns="http://schemas.openxmlformats.org/spreadsheetml/2006/main" count="481" uniqueCount="341">
  <si>
    <r>
      <rPr>
        <b val="true"/>
        <sz val="14"/>
        <color rgb="FFFFFFFF"/>
        <rFont val="Arial"/>
        <family val="0"/>
        <charset val="1"/>
      </rPr>
      <t xml:space="preserve">AutoTram </t>
    </r>
    <r>
      <rPr>
        <b val="true"/>
        <sz val="14"/>
        <color rgb="FFFFFFFF"/>
        <rFont val="Noto Sans CJK SC"/>
        <family val="2"/>
      </rPr>
      <t xml:space="preserve">논문 갭 분석 — </t>
    </r>
    <r>
      <rPr>
        <b val="true"/>
        <sz val="14"/>
        <color rgb="FFFFFFFF"/>
        <rFont val="Arial"/>
        <family val="0"/>
        <charset val="1"/>
      </rPr>
      <t xml:space="preserve">paper_kci_v1.docx </t>
    </r>
    <r>
      <rPr>
        <b val="true"/>
        <sz val="14"/>
        <color rgb="FFFFFFFF"/>
        <rFont val="Noto Sans CJK SC"/>
        <family val="2"/>
      </rPr>
      <t xml:space="preserve">기준</t>
    </r>
  </si>
  <si>
    <t xml:space="preserve">대상: 『미시교통시뮬레이션 기반 노면전차 우선신호 감응식 제어의 효과 분석: 대전 도시철도 2호선 사례』 (2026-07-26 최종본) / 검토자료: paper_interview_review.md</t>
  </si>
  <si>
    <t xml:space="preserve">■ 총괄 판정</t>
  </si>
  <si>
    <t xml:space="preserve">논문 1편 분량 충족 여부</t>
  </si>
  <si>
    <t xml:space="preserve">충족 — 오히려 초과. 본문 6장, Table 7점, Figure 7점, 5시드 실험 3세트 보유. 분량 부족이 아니라 V장(Isaac Sim+VLA) 때문에 1.5편 분량임.</t>
  </si>
  <si>
    <t xml:space="preserve">현재 완성도(원고)</t>
  </si>
  <si>
    <t xml:space="preserve">약 85% — 논지 구조·실험설계 결함 없음. 남은 것은 수치 정합성 수정, 통계검정 보강, 서식/행정.</t>
  </si>
  <si>
    <t xml:space="preserve">게재 가능성 최대 위협</t>
  </si>
  <si>
    <t xml:space="preserve">충족 — 초과. 5시드 원자료 330개 파일로 Table 5·6·7 대부분이 재현 검증됨. 다만 Table 6 고정식 행은 번들에 대응 데이터 없음</t>
  </si>
  <si>
    <t xml:space="preserve">권고 전략</t>
  </si>
  <si>
    <t xml:space="preserve">약 96% (07-28 v3) — 참고문헌 26건·ITS학회 서식·초록 규정(600자/300단어)·주제어 5개 반영 완료. 잔여: 재실행 2회(시드46·Table6 고정식) + 분량 조정</t>
  </si>
  <si>
    <t xml:space="preserve">최소 투고 소요</t>
  </si>
  <si>
    <t xml:space="preserve">① 시드 46 발산(후기 코드 재실행으로 해소 예상) ② Table 6 고정식 데이터 소실(재실행 필요) ③ 가상 수요 민감도 미실시 — ①②는 재실행 2회로 동시 해결</t>
  </si>
  <si>
    <r>
      <rPr>
        <sz val="10"/>
        <rFont val="Arial"/>
        <family val="0"/>
        <charset val="1"/>
      </rPr>
      <t xml:space="preserve">07-28 </t>
    </r>
    <r>
      <rPr>
        <sz val="10"/>
        <rFont val="Noto Sans CJK SC"/>
        <family val="2"/>
      </rPr>
      <t xml:space="preserve">완료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원고 </t>
    </r>
    <r>
      <rPr>
        <sz val="10"/>
        <rFont val="Arial"/>
        <family val="0"/>
        <charset val="1"/>
      </rPr>
      <t xml:space="preserve">v3(paper_A_v3_ITS.docx) + </t>
    </r>
    <r>
      <rPr>
        <sz val="10"/>
        <rFont val="Noto Sans CJK SC"/>
        <family val="2"/>
      </rPr>
      <t xml:space="preserve">논문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초안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잔여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재실행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하룻밤</t>
    </r>
    <r>
      <rPr>
        <sz val="10"/>
        <rFont val="Arial"/>
        <family val="0"/>
        <charset val="1"/>
      </rPr>
      <t xml:space="preserve">) → </t>
    </r>
    <r>
      <rPr>
        <sz val="10"/>
        <rFont val="Noto Sans CJK SC"/>
        <family val="2"/>
      </rPr>
      <t xml:space="preserve">통계표 반영 → 투고</t>
    </r>
  </si>
  <si>
    <t xml:space="preserve">■ 진행 현황 (1_갭분석 시트 자동 집계)</t>
  </si>
  <si>
    <t xml:space="preserve">상태</t>
  </si>
  <si>
    <t xml:space="preserve">건수</t>
  </si>
  <si>
    <t xml:space="preserve">비율</t>
  </si>
  <si>
    <t xml:space="preserve">미착수</t>
  </si>
  <si>
    <t xml:space="preserve">진행중</t>
  </si>
  <si>
    <t xml:space="preserve">완료</t>
  </si>
  <si>
    <t xml:space="preserve">보류/불필요</t>
  </si>
  <si>
    <t xml:space="preserve">합계</t>
  </si>
  <si>
    <t xml:space="preserve">← 완료율</t>
  </si>
  <si>
    <t xml:space="preserve">■ 사용법</t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</si>
  <si>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노란색 셀만 입력하십시오 — </t>
    </r>
    <r>
      <rPr>
        <sz val="10"/>
        <rFont val="Arial"/>
        <family val="0"/>
        <charset val="1"/>
      </rPr>
      <t xml:space="preserve">1_</t>
    </r>
    <r>
      <rPr>
        <sz val="10"/>
        <rFont val="Noto Sans CJK SC"/>
        <family val="2"/>
      </rPr>
      <t xml:space="preserve">갭분석 시트의 </t>
    </r>
    <r>
      <rPr>
        <sz val="10"/>
        <rFont val="Arial"/>
        <family val="0"/>
        <charset val="1"/>
      </rPr>
      <t xml:space="preserve">H</t>
    </r>
    <r>
      <rPr>
        <sz val="10"/>
        <rFont val="Noto Sans CJK SC"/>
        <family val="2"/>
      </rPr>
      <t xml:space="preserve">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상태</t>
    </r>
    <r>
      <rPr>
        <sz val="10"/>
        <rFont val="Arial"/>
        <family val="0"/>
        <charset val="1"/>
      </rPr>
      <t xml:space="preserve">), I</t>
    </r>
    <r>
      <rPr>
        <sz val="10"/>
        <rFont val="Noto Sans CJK SC"/>
        <family val="2"/>
      </rPr>
      <t xml:space="preserve">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담당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메모</t>
    </r>
    <r>
      <rPr>
        <sz val="10"/>
        <rFont val="Arial"/>
        <family val="0"/>
        <charset val="1"/>
      </rPr>
      <t xml:space="preserve">), 2_</t>
    </r>
    <r>
      <rPr>
        <sz val="10"/>
        <rFont val="Noto Sans CJK SC"/>
        <family val="2"/>
      </rPr>
      <t xml:space="preserve">추가실험 시트의 </t>
    </r>
    <r>
      <rPr>
        <sz val="10"/>
        <rFont val="Arial"/>
        <family val="0"/>
        <charset val="1"/>
      </rPr>
      <t xml:space="preserve">E~G·I</t>
    </r>
    <r>
      <rPr>
        <sz val="10"/>
        <rFont val="Noto Sans CJK SC"/>
        <family val="2"/>
      </rPr>
      <t xml:space="preserve">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소요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상태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</si>
  <si>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· H</t>
    </r>
    <r>
      <rPr>
        <sz val="10"/>
        <rFont val="Noto Sans CJK SC"/>
        <family val="2"/>
      </rPr>
      <t xml:space="preserve">열은 드롭다운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미착수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진행중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완료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보류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불필요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위 집계표가 자동 갱신됩니다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</si>
  <si>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· 3_</t>
    </r>
    <r>
      <rPr>
        <sz val="10"/>
        <rFont val="Noto Sans CJK SC"/>
        <family val="2"/>
      </rPr>
      <t xml:space="preserve">현재산출물 시트는 현재 원고에 들어 있는 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그림 인벤토리이므로 수정하지 마십시오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현황 기록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</si>
  <si>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예시 입력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행이 </t>
    </r>
    <r>
      <rPr>
        <sz val="10"/>
        <rFont val="Arial"/>
        <family val="0"/>
        <charset val="1"/>
      </rPr>
      <t xml:space="preserve">1_</t>
    </r>
    <r>
      <rPr>
        <sz val="10"/>
        <rFont val="Noto Sans CJK SC"/>
        <family val="2"/>
      </rPr>
      <t xml:space="preserve">갭분석 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행에 회색으로 들어 있습니다 — 형식 참고 후 삭제하십시오</t>
    </r>
    <r>
      <rPr>
        <sz val="10"/>
        <rFont val="Arial"/>
        <family val="0"/>
        <charset val="1"/>
      </rPr>
      <t xml:space="preserve">.</t>
    </r>
  </si>
  <si>
    <t xml:space="preserve">갭 분석 — 투고 전 조치 항목 30건</t>
  </si>
  <si>
    <t xml:space="preserve">구분: [수정]=본문 교정, [재분석]=기존 데이터 재계산(신규 시뮬레이션 불필요), [실험]=신규 시뮬레이션 필요, [행정]=서식·투고 절차</t>
  </si>
  <si>
    <t xml:space="preserve">구분</t>
  </si>
  <si>
    <t xml:space="preserve">No</t>
  </si>
  <si>
    <t xml:space="preserve">항목</t>
  </si>
  <si>
    <t xml:space="preserve">현재 상태 / 문제</t>
  </si>
  <si>
    <t xml:space="preserve">필요 조치</t>
  </si>
  <si>
    <t xml:space="preserve">근거(검토 위치)</t>
  </si>
  <si>
    <t xml:space="preserve">우선순위</t>
  </si>
  <si>
    <t xml:space="preserve">담당·메모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</si>
  <si>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]</t>
    </r>
  </si>
  <si>
    <t xml:space="preserve">포화교통류율 수치 오류</t>
  </si>
  <si>
    <t xml:space="preserve">차두시간 1.96 s/대 → 본문 '약 1,880대/시/차로'. 3600/1.96=1,837이므로 계산 불일치. 1,880은 V장 60Hz 측정 1.91 s와 정합</t>
  </si>
  <si>
    <t xml:space="preserve">원 측정 로그 확인 후 '약 1,840대/시/차로'로 정정하고, '국내 포화교통류율 기준 1,800~2,200대/시/차로 범위'라는 대조 문장 추가</t>
  </si>
  <si>
    <t xml:space="preserve">총평 1 / [2-16]</t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</si>
  <si>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최우선</t>
    </r>
  </si>
  <si>
    <r>
      <rPr>
        <sz val="10"/>
        <color rgb="FF0000FF"/>
        <rFont val="Arial"/>
        <family val="0"/>
        <charset val="1"/>
      </rPr>
      <t xml:space="preserve">07-28 </t>
    </r>
    <r>
      <rPr>
        <sz val="10"/>
        <color rgb="FF0000FF"/>
        <rFont val="Noto Sans CJK SC"/>
        <family val="2"/>
      </rPr>
      <t xml:space="preserve">번들 확인 — </t>
    </r>
    <r>
      <rPr>
        <sz val="10"/>
        <color rgb="FF0000FF"/>
        <rFont val="Arial"/>
        <family val="0"/>
        <charset val="1"/>
      </rPr>
      <t xml:space="preserve">1,880 </t>
    </r>
    <r>
      <rPr>
        <sz val="10"/>
        <color rgb="FF0000FF"/>
        <rFont val="Noto Sans CJK SC"/>
        <family val="2"/>
      </rPr>
      <t xml:space="preserve">독립 측정 없음</t>
    </r>
    <r>
      <rPr>
        <sz val="10"/>
        <color rgb="FF0000FF"/>
        <rFont val="Arial"/>
        <family val="0"/>
        <charset val="1"/>
      </rPr>
      <t xml:space="preserve">. v2</t>
    </r>
    <r>
      <rPr>
        <sz val="10"/>
        <color rgb="FF0000FF"/>
        <rFont val="Noto Sans CJK SC"/>
        <family val="2"/>
      </rPr>
      <t xml:space="preserve">의 </t>
    </r>
    <r>
      <rPr>
        <sz val="10"/>
        <color rgb="FF0000FF"/>
        <rFont val="Arial"/>
        <family val="0"/>
        <charset val="1"/>
      </rPr>
      <t xml:space="preserve">1,840 </t>
    </r>
    <r>
      <rPr>
        <sz val="10"/>
        <color rgb="FF0000FF"/>
        <rFont val="Noto Sans CJK SC"/>
        <family val="2"/>
      </rPr>
      <t xml:space="preserve">확정</t>
    </r>
  </si>
  <si>
    <t xml:space="preserve">신호 정지 감소율 86% → 85%</t>
  </si>
  <si>
    <r>
      <rPr>
        <sz val="10"/>
        <rFont val="Arial"/>
        <family val="0"/>
        <charset val="1"/>
      </rPr>
      <t xml:space="preserve">(7.5−1.1)/7.5 = 85.3%</t>
    </r>
    <r>
      <rPr>
        <sz val="10"/>
        <rFont val="Noto Sans CJK SC"/>
        <family val="2"/>
      </rPr>
      <t xml:space="preserve">인데 </t>
    </r>
    <r>
      <rPr>
        <sz val="10"/>
        <rFont val="Arial"/>
        <family val="0"/>
        <charset val="1"/>
      </rPr>
      <t xml:space="preserve">86%</t>
    </r>
    <r>
      <rPr>
        <sz val="10"/>
        <rFont val="Noto Sans CJK SC"/>
        <family val="2"/>
      </rPr>
      <t xml:space="preserve">로 표기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초록</t>
    </r>
    <r>
      <rPr>
        <sz val="10"/>
        <rFont val="Arial"/>
        <family val="0"/>
        <charset val="1"/>
      </rPr>
      <t xml:space="preserve">·IV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결론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항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곳 반복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</si>
  <si>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85%'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곳 일괄 수정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영문 초록 포함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)</t>
    </r>
  </si>
  <si>
    <t xml:space="preserve">총평 3 / [A-8]</t>
  </si>
  <si>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상</t>
    </r>
  </si>
  <si>
    <r>
      <rPr>
        <sz val="10"/>
        <color rgb="FF0000FF"/>
        <rFont val="Arial"/>
        <family val="0"/>
        <charset val="1"/>
      </rPr>
      <t xml:space="preserve">07-27 v2 </t>
    </r>
    <r>
      <rPr>
        <sz val="10"/>
        <color rgb="FF0000FF"/>
        <rFont val="Noto Sans CJK SC"/>
        <family val="2"/>
      </rPr>
      <t xml:space="preserve">반영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국문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곳</t>
    </r>
    <r>
      <rPr>
        <sz val="10"/>
        <color rgb="FF0000FF"/>
        <rFont val="Arial"/>
        <family val="0"/>
        <charset val="1"/>
      </rPr>
      <t xml:space="preserve">+</t>
    </r>
    <r>
      <rPr>
        <sz val="10"/>
        <color rgb="FF0000FF"/>
        <rFont val="Noto Sans CJK SC"/>
        <family val="2"/>
      </rPr>
      <t xml:space="preserve">영문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곳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</si>
  <si>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% vs %p </t>
    </r>
    <r>
      <rPr>
        <sz val="10"/>
        <rFont val="Noto Sans CJK SC"/>
        <family val="2"/>
      </rPr>
      <t xml:space="preserve">표기 혼용</t>
    </r>
  </si>
  <si>
    <r>
      <rPr>
        <sz val="10"/>
        <rFont val="Arial"/>
        <family val="0"/>
        <charset val="1"/>
      </rPr>
      <t xml:space="preserve">IV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절 </t>
    </r>
    <r>
      <rPr>
        <sz val="10"/>
        <rFont val="Arial"/>
        <family val="0"/>
        <charset val="1"/>
      </rPr>
      <t xml:space="preserve">'−15%p','−35%p'</t>
    </r>
    <r>
      <rPr>
        <sz val="10"/>
        <rFont val="Noto Sans CJK SC"/>
        <family val="2"/>
      </rPr>
      <t xml:space="preserve">와 초록 </t>
    </r>
    <r>
      <rPr>
        <sz val="10"/>
        <rFont val="Arial"/>
        <family val="0"/>
        <charset val="1"/>
      </rPr>
      <t xml:space="preserve">'−4%p'</t>
    </r>
    <r>
      <rPr>
        <sz val="10"/>
        <rFont val="Noto Sans CJK SC"/>
        <family val="2"/>
      </rPr>
      <t xml:space="preserve">는 모두 상대 감소율</t>
    </r>
    <r>
      <rPr>
        <sz val="10"/>
        <rFont val="Arial"/>
        <family val="0"/>
        <charset val="1"/>
      </rPr>
      <t xml:space="preserve">(%)</t>
    </r>
    <r>
      <rPr>
        <sz val="10"/>
        <rFont val="Noto Sans CJK SC"/>
        <family val="2"/>
      </rPr>
      <t xml:space="preserve">임</t>
    </r>
    <r>
      <rPr>
        <sz val="10"/>
        <rFont val="Arial"/>
        <family val="0"/>
        <charset val="1"/>
      </rPr>
      <t xml:space="preserve">. 22.73/34.94=−35%, 34.68/36.25=−4.3%</t>
    </r>
  </si>
  <si>
    <t xml:space="preserve">전체를 상대 %로 통일. 초록(국·영문), IV장 4절, 결론 5항 일괄 수정</t>
  </si>
  <si>
    <t xml:space="preserve">총평 4 / [A-11]</t>
  </si>
  <si>
    <r>
      <rPr>
        <sz val="10"/>
        <color rgb="FF0000FF"/>
        <rFont val="Arial"/>
        <family val="0"/>
        <charset val="1"/>
      </rPr>
      <t xml:space="preserve">07-27 v2 </t>
    </r>
    <r>
      <rPr>
        <sz val="10"/>
        <color rgb="FF0000FF"/>
        <rFont val="Noto Sans CJK SC"/>
        <family val="2"/>
      </rPr>
      <t xml:space="preserve">반영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국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영문</t>
    </r>
    <r>
      <rPr>
        <sz val="10"/>
        <color rgb="FF0000FF"/>
        <rFont val="Arial"/>
        <family val="0"/>
        <charset val="1"/>
      </rPr>
      <t xml:space="preserve">·IV</t>
    </r>
    <r>
      <rPr>
        <sz val="10"/>
        <color rgb="FF0000FF"/>
        <rFont val="Noto Sans CJK SC"/>
        <family val="2"/>
      </rPr>
      <t xml:space="preserve">장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결론 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곳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</si>
  <si>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Table 5 / Table 6 </t>
    </r>
    <r>
      <rPr>
        <sz val="10"/>
        <rFont val="Noto Sans CJK SC"/>
        <family val="2"/>
      </rPr>
      <t xml:space="preserve">값 불일치</t>
    </r>
  </si>
  <si>
    <t xml:space="preserve">자유 감응식 표정속도 28.37 vs 28.38, 순환시간 4,282±61 vs 4,281±62 — 재측정 값 혼용</t>
  </si>
  <si>
    <t xml:space="preserve">한쪽으로 통일하거나 '모델 구성 변경 후 재측정, 트램 지표 변동 ±0.01 km/h' 각주 추가</t>
  </si>
  <si>
    <t xml:space="preserve">총평 2 / [4-T5]</t>
  </si>
  <si>
    <r>
      <rPr>
        <sz val="10"/>
        <color rgb="FF0000FF"/>
        <rFont val="Arial"/>
        <family val="0"/>
        <charset val="1"/>
      </rPr>
      <t xml:space="preserve">07-27 v2 </t>
    </r>
    <r>
      <rPr>
        <sz val="10"/>
        <color rgb="FF0000FF"/>
        <rFont val="Noto Sans CJK SC"/>
        <family val="2"/>
      </rPr>
      <t xml:space="preserve">반영 </t>
    </r>
    <r>
      <rPr>
        <sz val="10"/>
        <color rgb="FF0000FF"/>
        <rFont val="Arial"/>
        <family val="0"/>
        <charset val="1"/>
      </rPr>
      <t xml:space="preserve">(IV</t>
    </r>
    <r>
      <rPr>
        <sz val="10"/>
        <color rgb="FF0000FF"/>
        <rFont val="Noto Sans CJK SC"/>
        <family val="2"/>
      </rPr>
      <t xml:space="preserve">장 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절에 트램값 불변 문구 삽입</t>
    </r>
    <r>
      <rPr>
        <sz val="10"/>
        <color rgb="FF0000FF"/>
        <rFont val="Arial"/>
        <family val="0"/>
        <charset val="1"/>
      </rPr>
      <t xml:space="preserve">)</t>
    </r>
  </si>
  <si>
    <t xml:space="preserve">국문·영문 초록 비대칭</t>
  </si>
  <si>
    <t xml:space="preserve">국문에만 있는 차별성 문구('단일 교차로/가로축에 머물던 기존 연구와 달리'), 영문에만 있는 폐루프 행동 목록·혼합교통 구성</t>
  </si>
  <si>
    <t xml:space="preserve">양방향 대칭화. 영문에 'unlike prior tram-TSP studies confined to a single intersection or corridor' 삽입, 국문에 폐루프 행동 목록 삽입</t>
  </si>
  <si>
    <t xml:space="preserve">총평 5 / [A-5],[E-*]</t>
  </si>
  <si>
    <r>
      <rPr>
        <sz val="10"/>
        <color rgb="FF0000FF"/>
        <rFont val="Arial"/>
        <family val="0"/>
        <charset val="1"/>
      </rPr>
      <t xml:space="preserve">07-27 v2 </t>
    </r>
    <r>
      <rPr>
        <sz val="10"/>
        <color rgb="FF0000FF"/>
        <rFont val="Noto Sans CJK SC"/>
        <family val="2"/>
      </rPr>
      <t xml:space="preserve">반영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영문에 차별성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국문에 폐루프 행동 추가</t>
    </r>
    <r>
      <rPr>
        <sz val="10"/>
        <color rgb="FF0000FF"/>
        <rFont val="Arial"/>
        <family val="0"/>
        <charset val="1"/>
      </rPr>
      <t xml:space="preserve">)</t>
    </r>
  </si>
  <si>
    <t xml:space="preserve">초록 주장의 본문 미정산</t>
  </si>
  <si>
    <t xml:space="preserve">초록 '소요 편성 수까지 좌우한다'가 본문에서 정량 정산되지 않음 (유일한 미정산 항목)</t>
  </si>
  <si>
    <r>
      <rPr>
        <sz val="10"/>
        <rFont val="Arial"/>
        <family val="0"/>
        <charset val="1"/>
      </rPr>
      <t xml:space="preserve">IV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절 또는 결론에 한 문장 추가</t>
    </r>
    <r>
      <rPr>
        <sz val="10"/>
        <rFont val="Arial"/>
        <family val="0"/>
        <charset val="1"/>
      </rPr>
      <t xml:space="preserve">: '</t>
    </r>
    <r>
      <rPr>
        <sz val="10"/>
        <rFont val="Noto Sans CJK SC"/>
        <family val="2"/>
      </rPr>
      <t xml:space="preserve">순환시간 </t>
    </r>
    <r>
      <rPr>
        <sz val="10"/>
        <rFont val="Arial"/>
        <family val="0"/>
        <charset val="1"/>
      </rPr>
      <t xml:space="preserve">4.2</t>
    </r>
    <r>
      <rPr>
        <sz val="10"/>
        <rFont val="Noto Sans CJK SC"/>
        <family val="2"/>
      </rPr>
      <t xml:space="preserve">분 단축은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분 배차 기준 약 </t>
    </r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</rPr>
      <t xml:space="preserve">편성의 차량소요 절감에 상당</t>
    </r>
    <r>
      <rPr>
        <sz val="10"/>
        <rFont val="Arial"/>
        <family val="0"/>
        <charset val="1"/>
      </rPr>
      <t xml:space="preserve">'</t>
    </r>
  </si>
  <si>
    <t xml:space="preserve">[A-2]</t>
  </si>
  <si>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중</t>
    </r>
  </si>
  <si>
    <r>
      <rPr>
        <sz val="10"/>
        <color rgb="FF0000FF"/>
        <rFont val="Arial"/>
        <family val="0"/>
        <charset val="1"/>
      </rPr>
      <t xml:space="preserve">07-27 v2 </t>
    </r>
    <r>
      <rPr>
        <sz val="10"/>
        <color rgb="FF0000FF"/>
        <rFont val="Noto Sans CJK SC"/>
        <family val="2"/>
      </rPr>
      <t xml:space="preserve">반영 </t>
    </r>
    <r>
      <rPr>
        <sz val="10"/>
        <color rgb="FF0000FF"/>
        <rFont val="Arial"/>
        <family val="0"/>
        <charset val="1"/>
      </rPr>
      <t xml:space="preserve">(IV</t>
    </r>
    <r>
      <rPr>
        <sz val="10"/>
        <color rgb="FF0000FF"/>
        <rFont val="Noto Sans CJK SC"/>
        <family val="2"/>
      </rPr>
      <t xml:space="preserve">장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절</t>
    </r>
    <r>
      <rPr>
        <sz val="10"/>
        <color rgb="FF0000FF"/>
        <rFont val="Arial"/>
        <family val="0"/>
        <charset val="1"/>
      </rPr>
      <t xml:space="preserve">, 0.5</t>
    </r>
    <r>
      <rPr>
        <sz val="10"/>
        <color rgb="FF0000FF"/>
        <rFont val="Noto Sans CJK SC"/>
        <family val="2"/>
      </rPr>
      <t xml:space="preserve">편성 환산</t>
    </r>
    <r>
      <rPr>
        <sz val="10"/>
        <color rgb="FF0000FF"/>
        <rFont val="Arial"/>
        <family val="0"/>
        <charset val="1"/>
      </rPr>
      <t xml:space="preserve">)</t>
    </r>
  </si>
  <si>
    <t xml:space="preserve">좌회전 지체 검증 설명 보강</t>
  </si>
  <si>
    <r>
      <rPr>
        <sz val="10"/>
        <rFont val="Arial"/>
        <family val="0"/>
        <charset val="1"/>
      </rPr>
      <t xml:space="preserve">39.0±6.9 s vs </t>
    </r>
    <r>
      <rPr>
        <sz val="10"/>
        <rFont val="Noto Sans CJK SC"/>
        <family val="2"/>
      </rPr>
      <t xml:space="preserve">이론값 </t>
    </r>
    <r>
      <rPr>
        <sz val="10"/>
        <rFont val="Arial"/>
        <family val="0"/>
        <charset val="1"/>
      </rPr>
      <t xml:space="preserve">34 s (15% </t>
    </r>
    <r>
      <rPr>
        <sz val="10"/>
        <rFont val="Noto Sans CJK SC"/>
        <family val="2"/>
      </rPr>
      <t xml:space="preserve">차이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유사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서술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</si>
  <si>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확률 도착에 따른 초과분을 고려하면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반 문장을 삽입해 심사 질의 선제 차단</t>
    </r>
  </si>
  <si>
    <t xml:space="preserve">[2-17]</t>
  </si>
  <si>
    <r>
      <rPr>
        <sz val="10"/>
        <color rgb="FF0000FF"/>
        <rFont val="Arial"/>
        <family val="0"/>
        <charset val="1"/>
      </rPr>
      <t xml:space="preserve">07-27 v2 </t>
    </r>
    <r>
      <rPr>
        <sz val="10"/>
        <color rgb="FF0000FF"/>
        <rFont val="Noto Sans CJK SC"/>
        <family val="2"/>
      </rPr>
      <t xml:space="preserve">반영</t>
    </r>
  </si>
  <si>
    <r>
      <rPr>
        <sz val="10"/>
        <rFont val="Arial"/>
        <family val="0"/>
        <charset val="1"/>
      </rPr>
      <t xml:space="preserve">VISSIM </t>
    </r>
    <r>
      <rPr>
        <sz val="10"/>
        <rFont val="Noto Sans CJK SC"/>
        <family val="2"/>
      </rPr>
      <t xml:space="preserve">상표 표기</t>
    </r>
  </si>
  <si>
    <t xml:space="preserve">자체 엔진 명칭이 'MyVISSIM'. 상용 제품명 차용에 대한 지적 가능</t>
  </si>
  <si>
    <t xml:space="preserve">각주 추가: 'VISSIM은 PTV AG의 등록상표이며, 본 엔진은 동 계열 구성요소의 자체 구현임'. 또는 엔진명 변경 검토</t>
  </si>
  <si>
    <t xml:space="preserve">[1-13]</t>
  </si>
  <si>
    <r>
      <rPr>
        <sz val="10"/>
        <color rgb="FF0000FF"/>
        <rFont val="Arial"/>
        <family val="0"/>
        <charset val="1"/>
      </rPr>
      <t xml:space="preserve">07-27 v2 </t>
    </r>
    <r>
      <rPr>
        <sz val="10"/>
        <color rgb="FF0000FF"/>
        <rFont val="Noto Sans CJK SC"/>
        <family val="2"/>
      </rPr>
      <t xml:space="preserve">반영 </t>
    </r>
    <r>
      <rPr>
        <sz val="10"/>
        <color rgb="FF0000FF"/>
        <rFont val="Arial"/>
        <family val="0"/>
        <charset val="1"/>
      </rPr>
      <t xml:space="preserve">(PTV Group </t>
    </r>
    <r>
      <rPr>
        <sz val="10"/>
        <color rgb="FF0000FF"/>
        <rFont val="Noto Sans CJK SC"/>
        <family val="2"/>
      </rPr>
      <t xml:space="preserve">상표 문구</t>
    </r>
    <r>
      <rPr>
        <sz val="10"/>
        <color rgb="FF0000FF"/>
        <rFont val="Arial"/>
        <family val="0"/>
        <charset val="1"/>
      </rPr>
      <t xml:space="preserve">)</t>
    </r>
  </si>
  <si>
    <t xml:space="preserve">초록 노선 제원 한정어</t>
  </si>
  <si>
    <t xml:space="preserve">초록 33.7 km·40개소 vs 기본계획 38.8 km·45개소. 본문에는 한정 문구 있으나 초록에는 없음</t>
  </si>
  <si>
    <t xml:space="preserve">초록에 '(기본계획 38.8 km 중 공개 궤도 구간)' 괄호 추가</t>
  </si>
  <si>
    <t xml:space="preserve">[A-4]</t>
  </si>
  <si>
    <r>
      <rPr>
        <sz val="10"/>
        <rFont val="Arial"/>
        <family val="0"/>
        <charset val="1"/>
      </rPr>
      <t xml:space="preserve">4.</t>
    </r>
    <r>
      <rPr>
        <sz val="10"/>
        <rFont val="Noto Sans CJK SC"/>
        <family val="2"/>
      </rPr>
      <t xml:space="preserve">하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</si>
  <si>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재분석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</si>
  <si>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시드 짝 통계검정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최대 약점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</si>
  <si>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표준편차 범위를 넘어서는 수준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이라는 정성적 표현만 존재</t>
    </r>
    <r>
      <rPr>
        <sz val="10"/>
        <rFont val="Arial"/>
        <family val="0"/>
        <charset val="1"/>
      </rPr>
      <t xml:space="preserve">. p</t>
    </r>
    <r>
      <rPr>
        <sz val="10"/>
        <rFont val="Noto Sans CJK SC"/>
        <family val="2"/>
      </rPr>
      <t xml:space="preserve">값 없음</t>
    </r>
  </si>
  <si>
    <t xml:space="preserve">동일 시드 짝 구조를 살린 paired t-test 또는 Wilcoxon 부호순위검정 p값을 Table 5·6에 열로 추가. 신규 시뮬레이션 불필요 — 기존 시드별 로그로 계산 가능</t>
  </si>
  <si>
    <t xml:space="preserve">총평 7 / [4-14]</t>
  </si>
  <si>
    <r>
      <rPr>
        <sz val="10"/>
        <color rgb="FF0000FF"/>
        <rFont val="Arial"/>
        <family val="0"/>
        <charset val="1"/>
      </rPr>
      <t xml:space="preserve">07-28 </t>
    </r>
    <r>
      <rPr>
        <sz val="10"/>
        <color rgb="FF0000FF"/>
        <rFont val="Noto Sans CJK SC"/>
        <family val="2"/>
      </rPr>
      <t xml:space="preserve">통계검정</t>
    </r>
    <r>
      <rPr>
        <sz val="10"/>
        <color rgb="FF0000FF"/>
        <rFont val="Arial"/>
        <family val="0"/>
        <charset val="1"/>
      </rPr>
      <t xml:space="preserve">_</t>
    </r>
    <r>
      <rPr>
        <sz val="10"/>
        <color rgb="FF0000FF"/>
        <rFont val="Noto Sans CJK SC"/>
        <family val="2"/>
      </rPr>
      <t xml:space="preserve">결과</t>
    </r>
    <r>
      <rPr>
        <sz val="10"/>
        <color rgb="FF0000FF"/>
        <rFont val="Arial"/>
        <family val="0"/>
        <charset val="1"/>
      </rPr>
      <t xml:space="preserve">.xlsx 1</t>
    </r>
    <r>
      <rPr>
        <sz val="10"/>
        <color rgb="FF0000FF"/>
        <rFont val="Noto Sans CJK SC"/>
        <family val="2"/>
      </rPr>
      <t xml:space="preserve">번 시트</t>
    </r>
    <r>
      <rPr>
        <sz val="10"/>
        <color rgb="FF0000FF"/>
        <rFont val="Arial"/>
        <family val="0"/>
        <charset val="1"/>
      </rPr>
      <t xml:space="preserve">. ⚠ </t>
    </r>
    <r>
      <rPr>
        <sz val="10"/>
        <color rgb="FF0000FF"/>
        <rFont val="Noto Sans CJK SC"/>
        <family val="2"/>
      </rPr>
      <t xml:space="preserve">승용차 </t>
    </r>
    <r>
      <rPr>
        <sz val="10"/>
        <color rgb="FF0000FF"/>
        <rFont val="Arial"/>
        <family val="0"/>
        <charset val="1"/>
      </rPr>
      <t xml:space="preserve">p=0.063 </t>
    </r>
    <r>
      <rPr>
        <sz val="10"/>
        <color rgb="FF0000FF"/>
        <rFont val="Noto Sans CJK SC"/>
        <family val="2"/>
      </rPr>
      <t xml:space="preserve">비유의</t>
    </r>
  </si>
  <si>
    <t xml:space="preserve">효과크기·신뢰구간 병기</t>
  </si>
  <si>
    <t xml:space="preserve">평균±표준편차만 제시</t>
  </si>
  <si>
    <r>
      <rPr>
        <sz val="10"/>
        <rFont val="Arial"/>
        <family val="0"/>
        <charset val="1"/>
      </rPr>
      <t xml:space="preserve">Cohen's d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95% </t>
    </r>
    <r>
      <rPr>
        <sz val="10"/>
        <rFont val="Noto Sans CJK SC"/>
        <family val="2"/>
      </rPr>
      <t xml:space="preserve">신뢰구간을 </t>
    </r>
    <r>
      <rPr>
        <sz val="10"/>
        <rFont val="Arial"/>
        <family val="0"/>
        <charset val="1"/>
      </rPr>
      <t xml:space="preserve">Table 5·6</t>
    </r>
    <r>
      <rPr>
        <sz val="10"/>
        <rFont val="Noto Sans CJK SC"/>
        <family val="2"/>
      </rPr>
      <t xml:space="preserve">에 병기하여 통계적 엄밀성 확보</t>
    </r>
  </si>
  <si>
    <t xml:space="preserve">보강 권고</t>
  </si>
  <si>
    <r>
      <rPr>
        <sz val="10"/>
        <color rgb="FF0000FF"/>
        <rFont val="Arial"/>
        <family val="0"/>
        <charset val="1"/>
      </rPr>
      <t xml:space="preserve">07-28 95%CI·Cohen's d </t>
    </r>
    <r>
      <rPr>
        <sz val="10"/>
        <color rgb="FF0000FF"/>
        <rFont val="Noto Sans CJK SC"/>
        <family val="2"/>
      </rPr>
      <t xml:space="preserve">산출 완료</t>
    </r>
  </si>
  <si>
    <t xml:space="preserve">정시성 지표 부재</t>
  </si>
  <si>
    <t xml:space="preserve">트램 성능이 표정속도·순환시간·정지횟수에 한정. KCI 교통 분야 심사에서 '정시성'을 요구할 가능성 높음</t>
  </si>
  <si>
    <t xml:space="preserve">기존 로그에서 정거장 도착시각 편차(스케줄 준수 편차, 정시 도착률 ±1분)를 산출해 Table 5에 2행 추가</t>
  </si>
  <si>
    <t xml:space="preserve">심사 대응</t>
  </si>
  <si>
    <t xml:space="preserve">정거장 통과 로그 부재 — 순환시간 변동으로 대체(4번 시트)</t>
  </si>
  <si>
    <t xml:space="preserve">교차로 지체 LOS 환산</t>
  </si>
  <si>
    <t xml:space="preserve">일반차량 비용이 '평균속도 −5%'로만 제시</t>
  </si>
  <si>
    <r>
      <rPr>
        <sz val="10"/>
        <rFont val="Arial"/>
        <family val="0"/>
        <charset val="1"/>
      </rPr>
      <t xml:space="preserve">KHCM </t>
    </r>
    <r>
      <rPr>
        <sz val="10"/>
        <rFont val="Noto Sans CJK SC"/>
        <family val="2"/>
      </rPr>
      <t xml:space="preserve">기준 교차로 평균제어지체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서비스수준</t>
    </r>
    <r>
      <rPr>
        <sz val="10"/>
        <rFont val="Arial"/>
        <family val="0"/>
        <charset val="1"/>
      </rPr>
      <t xml:space="preserve">(LOS) </t>
    </r>
    <r>
      <rPr>
        <sz val="10"/>
        <rFont val="Noto Sans CJK SC"/>
        <family val="2"/>
      </rPr>
      <t xml:space="preserve">환산을 추가하면 교통공학 심사자 설득력 상승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</si>
  <si>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실험</t>
    </r>
    <r>
      <rPr>
        <sz val="10"/>
        <rFont val="Arial"/>
        <family val="0"/>
        <charset val="1"/>
      </rPr>
      <t xml:space="preserve">]</t>
    </r>
  </si>
  <si>
    <t xml:space="preserve">가상 수요 민감도 (E1)</t>
  </si>
  <si>
    <t xml:space="preserve">비모델 79개 교차로를 포아송 호출 120회/시로 등가화. 이 가정이 결과의 외적 타당성을 좌우하는데 민감도 분석이 전무 — 저자도 향후연구 (2)로 인정</t>
  </si>
  <si>
    <t xml:space="preserve">호출빈도 60/90/120/180/240회/시 × 5시드 재실행. 표정속도 향상률이 단조·완만하면 결론 강건성 입증. 미실시 시 심사에서 '결과가 가정의 산물' 지적 위험</t>
  </si>
  <si>
    <t xml:space="preserve">총평 8 / [4-10]</t>
  </si>
  <si>
    <t xml:space="preserve">시드 5 → 10개 확대 (E2)</t>
  </si>
  <si>
    <t xml:space="preserve">시드 42~46 5개. 통계검정 검정력 부족</t>
  </si>
  <si>
    <t xml:space="preserve">시드 47~51 추가 실행. E1과 병행 시 추가 비용 작음</t>
  </si>
  <si>
    <t xml:space="preserve">통계력 보강</t>
  </si>
  <si>
    <t xml:space="preserve">옵셋 연속 스윕 (E3)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</si>
  <si>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전량 통과 </t>
    </r>
    <r>
      <rPr>
        <sz val="10"/>
        <rFont val="Arial"/>
        <family val="0"/>
        <charset val="1"/>
      </rPr>
      <t xml:space="preserve">13.7 s ↔ </t>
    </r>
    <r>
      <rPr>
        <sz val="10"/>
        <rFont val="Noto Sans CJK SC"/>
        <family val="2"/>
      </rPr>
      <t xml:space="preserve">전량 정지 </t>
    </r>
    <r>
      <rPr>
        <sz val="10"/>
        <rFont val="Arial"/>
        <family val="0"/>
        <charset val="1"/>
      </rPr>
      <t xml:space="preserve">36.0 s' </t>
    </r>
    <r>
      <rPr>
        <sz val="10"/>
        <rFont val="Noto Sans CJK SC"/>
        <family val="2"/>
      </rPr>
      <t xml:space="preserve">양극화가 옵셋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점</t>
    </r>
    <r>
      <rPr>
        <sz val="10"/>
        <rFont val="Arial"/>
        <family val="0"/>
        <charset val="1"/>
      </rPr>
      <t xml:space="preserve">(0, 45 s) </t>
    </r>
    <r>
      <rPr>
        <sz val="10"/>
        <rFont val="Noto Sans CJK SC"/>
        <family val="2"/>
      </rPr>
      <t xml:space="preserve">비교에 근거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표본 트램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대</t>
    </r>
  </si>
  <si>
    <t xml:space="preserve">옵셋 0~90 s를 5 s 간격으로 스윕해 통과시간 곡선을 Figure로 제시. 양극화 주장이 2점 비교에서 연속 함수로 격상됨</t>
  </si>
  <si>
    <r>
      <rPr>
        <sz val="10"/>
        <rFont val="Arial"/>
        <family val="0"/>
        <charset val="1"/>
      </rPr>
      <t xml:space="preserve">[A-6] </t>
    </r>
    <r>
      <rPr>
        <sz val="10"/>
        <rFont val="Noto Sans CJK SC"/>
        <family val="2"/>
      </rPr>
      <t xml:space="preserve">심사 질의 예상</t>
    </r>
  </si>
  <si>
    <t xml:space="preserve">배차간격 민감도 (E4)</t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</si>
  <si>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분 고정 시각표 단일 조건</t>
    </r>
  </si>
  <si>
    <r>
      <rPr>
        <sz val="10"/>
        <rFont val="Arial"/>
        <family val="0"/>
        <charset val="1"/>
      </rPr>
      <t xml:space="preserve">6/8/10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수준 </t>
    </r>
    <r>
      <rPr>
        <sz val="10"/>
        <rFont val="Arial"/>
        <family val="0"/>
        <charset val="1"/>
      </rPr>
      <t xml:space="preserve">× 2</t>
    </r>
    <r>
      <rPr>
        <sz val="10"/>
        <rFont val="Noto Sans CJK SC"/>
        <family val="2"/>
      </rPr>
      <t xml:space="preserve">전략 </t>
    </r>
    <r>
      <rPr>
        <sz val="10"/>
        <rFont val="Arial"/>
        <family val="0"/>
        <charset val="1"/>
      </rPr>
      <t xml:space="preserve">× 5</t>
    </r>
    <r>
      <rPr>
        <sz val="10"/>
        <rFont val="Noto Sans CJK SC"/>
        <family val="2"/>
      </rPr>
      <t xml:space="preserve">시드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옵셋 정합형은 배차 변동에 취약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이라는 </t>
    </r>
    <r>
      <rPr>
        <sz val="10"/>
        <rFont val="Arial"/>
        <family val="0"/>
        <charset val="1"/>
      </rPr>
      <t xml:space="preserve">IV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절 주장의 직접 증거 확보</t>
    </r>
  </si>
  <si>
    <r>
      <rPr>
        <sz val="10"/>
        <rFont val="Arial"/>
        <family val="0"/>
        <charset val="1"/>
      </rPr>
      <t xml:space="preserve">IV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절 주장 입증</t>
    </r>
  </si>
  <si>
    <t xml:space="preserve">교통량 민감도 (E5)</t>
  </si>
  <si>
    <t xml:space="preserve">간선 1,800대/시 단일 조건</t>
  </si>
  <si>
    <r>
      <rPr>
        <sz val="10"/>
        <rFont val="Arial"/>
        <family val="0"/>
        <charset val="1"/>
      </rPr>
      <t xml:space="preserve">±20%(1,440/1,800/2,160) 3</t>
    </r>
    <r>
      <rPr>
        <sz val="10"/>
        <rFont val="Noto Sans CJK SC"/>
        <family val="2"/>
      </rPr>
      <t xml:space="preserve">수준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트레이드오프 곡선이 수요 수준에 따라 어떻게 이동하는지 제시</t>
    </r>
  </si>
  <si>
    <t xml:space="preserve">외적 타당성</t>
  </si>
  <si>
    <t xml:space="preserve">안전성 지표</t>
  </si>
  <si>
    <t xml:space="preserve">상충·TTC·PET 등 안전 지표 없음. 트램–보행자 상충은 서술만</t>
  </si>
  <si>
    <t xml:space="preserve">선택 사항. 지면 여유 없으면 향후연구로 유지 권고</t>
  </si>
  <si>
    <t xml:space="preserve">선택</t>
  </si>
  <si>
    <r>
      <rPr>
        <sz val="10"/>
        <rFont val="Arial"/>
        <family val="0"/>
        <charset val="1"/>
      </rPr>
      <t xml:space="preserve">V</t>
    </r>
    <r>
      <rPr>
        <sz val="10"/>
        <rFont val="Noto Sans CJK SC"/>
        <family val="2"/>
      </rPr>
      <t xml:space="preserve">장 자율주행 정량화</t>
    </r>
  </si>
  <si>
    <r>
      <rPr>
        <sz val="10"/>
        <rFont val="Arial"/>
        <family val="0"/>
        <charset val="1"/>
      </rPr>
      <t xml:space="preserve">Alpamayo-R1 </t>
    </r>
    <r>
      <rPr>
        <sz val="10"/>
        <rFont val="Noto Sans CJK SC"/>
        <family val="2"/>
      </rPr>
      <t xml:space="preserve">연계는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시연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수준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폐루프 성공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궤도이탈 </t>
    </r>
    <r>
      <rPr>
        <sz val="10"/>
        <rFont val="Arial"/>
        <family val="0"/>
        <charset val="1"/>
      </rPr>
      <t xml:space="preserve">0.4 m). </t>
    </r>
    <r>
      <rPr>
        <sz val="10"/>
        <rFont val="Noto Sans CJK SC"/>
        <family val="2"/>
      </rPr>
      <t xml:space="preserve">정량 평가는 향후연구 </t>
    </r>
    <r>
      <rPr>
        <sz val="10"/>
        <rFont val="Arial"/>
        <family val="0"/>
        <charset val="1"/>
      </rPr>
      <t xml:space="preserve">(5)</t>
    </r>
    <r>
      <rPr>
        <sz val="10"/>
        <rFont val="Noto Sans CJK SC"/>
        <family val="2"/>
      </rPr>
      <t xml:space="preserve">로 유보</t>
    </r>
  </si>
  <si>
    <t xml:space="preserve">신호준수율, 정위치 정차오차, 판단서술 일관성을 신호전략(고정식/감응식/연동식)별로 측정 → 논문 B의 핵심 결과로 사용. 논문 A에는 불필요</t>
  </si>
  <si>
    <t xml:space="preserve">분리 논문용</t>
  </si>
  <si>
    <t xml:space="preserve">별도</t>
  </si>
  <si>
    <t xml:space="preserve">07-28 10→26건 확대. 전건 검증(참고문헌_검증표.xlsx). SUMO·CARLA 원문헌 포함, ITS학회지 7편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</si>
  <si>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행정</t>
    </r>
    <r>
      <rPr>
        <sz val="10"/>
        <rFont val="Arial"/>
        <family val="0"/>
        <charset val="1"/>
      </rPr>
      <t xml:space="preserve">]</t>
    </r>
  </si>
  <si>
    <t xml:space="preserve">참고문헌 확대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</si>
  <si>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원전</t>
    </r>
    <r>
      <rPr>
        <sz val="10"/>
        <rFont val="Arial"/>
        <family val="0"/>
        <charset val="1"/>
      </rPr>
      <t xml:space="preserve">(2)·</t>
    </r>
    <r>
      <rPr>
        <sz val="10"/>
        <rFont val="Noto Sans CJK SC"/>
        <family val="2"/>
      </rPr>
      <t xml:space="preserve">실무</t>
    </r>
    <r>
      <rPr>
        <sz val="10"/>
        <rFont val="Arial"/>
        <family val="0"/>
        <charset val="1"/>
      </rPr>
      <t xml:space="preserve">(1)·</t>
    </r>
    <r>
      <rPr>
        <sz val="10"/>
        <rFont val="Noto Sans CJK SC"/>
        <family val="2"/>
      </rPr>
      <t xml:space="preserve">국내선행</t>
    </r>
    <r>
      <rPr>
        <sz val="10"/>
        <rFont val="Arial"/>
        <family val="0"/>
        <charset val="1"/>
      </rPr>
      <t xml:space="preserve">(3)·</t>
    </r>
    <r>
      <rPr>
        <sz val="10"/>
        <rFont val="Noto Sans CJK SC"/>
        <family val="2"/>
      </rPr>
      <t xml:space="preserve">데이터</t>
    </r>
    <r>
      <rPr>
        <sz val="10"/>
        <rFont val="Arial"/>
        <family val="0"/>
        <charset val="1"/>
      </rPr>
      <t xml:space="preserve">(2)·</t>
    </r>
    <r>
      <rPr>
        <sz val="10"/>
        <rFont val="Noto Sans CJK SC"/>
        <family val="2"/>
      </rPr>
      <t xml:space="preserve">플랫폼</t>
    </r>
    <r>
      <rPr>
        <sz val="10"/>
        <rFont val="Arial"/>
        <family val="0"/>
        <charset val="1"/>
      </rPr>
      <t xml:space="preserve">(2)</t>
    </r>
    <r>
      <rPr>
        <sz val="10"/>
        <rFont val="Noto Sans CJK SC"/>
        <family val="2"/>
      </rPr>
      <t xml:space="preserve">로 역할은 명확하나 절대 수 부족</t>
    </r>
  </si>
  <si>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건 이상으로 확대</t>
    </r>
    <r>
      <rPr>
        <sz val="10"/>
        <rFont val="Arial"/>
        <family val="0"/>
        <charset val="1"/>
      </rPr>
      <t xml:space="preserve">. ① SUMO–CARLA </t>
    </r>
    <r>
      <rPr>
        <sz val="10"/>
        <rFont val="Noto Sans CJK SC"/>
        <family val="2"/>
      </rPr>
      <t xml:space="preserve">브리지 원문헌</t>
    </r>
    <r>
      <rPr>
        <sz val="10"/>
        <rFont val="Arial"/>
        <family val="0"/>
        <charset val="1"/>
      </rPr>
      <t xml:space="preserve">(V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[5-2] </t>
    </r>
    <r>
      <rPr>
        <sz val="10"/>
        <rFont val="Noto Sans CJK SC"/>
        <family val="2"/>
      </rPr>
      <t xml:space="preserve">인용 근거 누락</t>
    </r>
    <r>
      <rPr>
        <sz val="10"/>
        <rFont val="Arial"/>
        <family val="0"/>
        <charset val="1"/>
      </rPr>
      <t xml:space="preserve">) ② </t>
    </r>
    <r>
      <rPr>
        <sz val="10"/>
        <rFont val="Noto Sans CJK SC"/>
        <family val="2"/>
      </rPr>
      <t xml:space="preserve">해외 트램 </t>
    </r>
    <r>
      <rPr>
        <sz val="10"/>
        <rFont val="Arial"/>
        <family val="0"/>
        <charset val="1"/>
      </rPr>
      <t xml:space="preserve">TSP </t>
    </r>
    <r>
      <rPr>
        <sz val="10"/>
        <rFont val="Noto Sans CJK SC"/>
        <family val="2"/>
      </rPr>
      <t xml:space="preserve">최신 문헌 ③ 투고 대상 학회지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한국</t>
    </r>
    <r>
      <rPr>
        <sz val="10"/>
        <rFont val="Arial"/>
        <family val="0"/>
        <charset val="1"/>
      </rPr>
      <t xml:space="preserve">ITS</t>
    </r>
    <r>
      <rPr>
        <sz val="10"/>
        <rFont val="Noto Sans CJK SC"/>
        <family val="2"/>
      </rPr>
      <t xml:space="preserve">학회 논문지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논문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편 이상 인용</t>
    </r>
  </si>
  <si>
    <t xml:space="preserve">총평 6 / [R 전체]</t>
  </si>
  <si>
    <t xml:space="preserve">07-28 PTV Group(2024) Vissim 2024 User Manual 로 특정</t>
  </si>
  <si>
    <r>
      <rPr>
        <sz val="10"/>
        <rFont val="Arial"/>
        <family val="0"/>
        <charset val="1"/>
      </rPr>
      <t xml:space="preserve">PTV Vissim </t>
    </r>
    <r>
      <rPr>
        <sz val="10"/>
        <rFont val="Noto Sans CJK SC"/>
        <family val="2"/>
      </rPr>
      <t xml:space="preserve">매뉴얼 서지 불완전</t>
    </r>
  </si>
  <si>
    <t xml:space="preserve">발행연도·버전 번호 없음. 버전에 따라 CC 파라미터 정의가 다름</t>
  </si>
  <si>
    <r>
      <rPr>
        <sz val="10"/>
        <rFont val="Arial"/>
        <family val="0"/>
        <charset val="1"/>
      </rPr>
      <t xml:space="preserve">'PTV Vissim 2024 User Manual' </t>
    </r>
    <r>
      <rPr>
        <sz val="10"/>
        <rFont val="Noto Sans CJK SC"/>
        <family val="2"/>
      </rPr>
      <t xml:space="preserve">형태로 버전 특정</t>
    </r>
  </si>
  <si>
    <t xml:space="preserve">총평 6 / [R-2]</t>
  </si>
  <si>
    <t xml:space="preserve">07-28 KITS 표기법 일괄 변환 + 본문 인용 Kim(2016) 형식 12곳 삽입</t>
  </si>
  <si>
    <t xml:space="preserve">참고문헌 표기법 변환</t>
  </si>
  <si>
    <t xml:space="preserve">현재 임의 형식</t>
  </si>
  <si>
    <t xml:space="preserve">한국ITS학회 논문지 표기법(저자명·괄호·쪽 표기)으로 일괄 변환</t>
  </si>
  <si>
    <t xml:space="preserve">총평 6</t>
  </si>
  <si>
    <t xml:space="preserve">07-28 장번호 로마자(Ⅰ~Ⅵ), 표 제목 영문·상단, 그림 하단, 중복 제목 제거</t>
  </si>
  <si>
    <t xml:space="preserve">학회지 서식 재조판</t>
  </si>
  <si>
    <t xml:space="preserve">일반 워드 서식</t>
  </si>
  <si>
    <t xml:space="preserve">한국ITS학회 논문 작성양식(submission.kits.or.kr 배포본)으로 재조판. 저자 표기 줄은 어차피 재조판 대상</t>
  </si>
  <si>
    <t xml:space="preserve">[T-3]</t>
  </si>
  <si>
    <t xml:space="preserve">저자 이메일 교체</t>
  </si>
  <si>
    <r>
      <rPr>
        <sz val="10"/>
        <rFont val="Arial"/>
        <family val="0"/>
        <charset val="1"/>
      </rPr>
      <t xml:space="preserve">mega0517@gmail.com (</t>
    </r>
    <r>
      <rPr>
        <sz val="10"/>
        <rFont val="Noto Sans CJK SC"/>
        <family val="2"/>
      </rPr>
      <t xml:space="preserve">개인 메일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기관 소속 명시 논문에서 신뢰도 불리</t>
    </r>
  </si>
  <si>
    <t xml:space="preserve">한국철도기술연구원 기관 메일(krri.re.kr)로 교체</t>
  </si>
  <si>
    <t xml:space="preserve">주제어 수 조정</t>
  </si>
  <si>
    <t xml:space="preserve">국·영문 각 9개. 학회지 규정은 통상 5~6개</t>
  </si>
  <si>
    <t xml:space="preserve">규정 확인 후 상위 5~6개로 압축 (노면전차, 대중교통 우선신호, 감응식 신호제어, 미시교통시뮬레이션, 대전 도시철도 2호선)</t>
  </si>
  <si>
    <t xml:space="preserve">[A-13]</t>
  </si>
  <si>
    <t xml:space="preserve">07-28 국·영문 각 5개로 압축</t>
  </si>
  <si>
    <t xml:space="preserve">그림 품질 검수</t>
  </si>
  <si>
    <r>
      <rPr>
        <sz val="10"/>
        <rFont val="Arial"/>
        <family val="0"/>
        <charset val="1"/>
      </rPr>
      <t xml:space="preserve">Figure 7</t>
    </r>
    <r>
      <rPr>
        <sz val="10"/>
        <rFont val="Noto Sans CJK SC"/>
        <family val="2"/>
      </rPr>
      <t xml:space="preserve">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인쇄 해상도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흑백 가독성 미확인</t>
    </r>
  </si>
  <si>
    <r>
      <rPr>
        <sz val="10"/>
        <rFont val="Arial"/>
        <family val="0"/>
        <charset val="1"/>
      </rPr>
      <t xml:space="preserve">300 dpi 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흑백 인쇄 시 계열 구분 가능 여부 확인</t>
    </r>
    <r>
      <rPr>
        <sz val="10"/>
        <rFont val="Arial"/>
        <family val="0"/>
        <charset val="1"/>
      </rPr>
      <t xml:space="preserve">(Figure 2·4·5</t>
    </r>
    <r>
      <rPr>
        <sz val="10"/>
        <rFont val="Noto Sans CJK SC"/>
        <family val="2"/>
      </rPr>
      <t xml:space="preserve">는 다계열 막대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점 혼합</t>
    </r>
    <r>
      <rPr>
        <sz val="10"/>
        <rFont val="Arial"/>
        <family val="0"/>
        <charset val="1"/>
      </rPr>
      <t xml:space="preserve">)</t>
    </r>
  </si>
  <si>
    <t xml:space="preserve">투고 요건</t>
  </si>
  <si>
    <t xml:space="preserve">문헌유사도 검사</t>
  </si>
  <si>
    <t xml:space="preserve">미실시</t>
  </si>
  <si>
    <r>
      <rPr>
        <sz val="10"/>
        <rFont val="Arial"/>
        <family val="0"/>
        <charset val="1"/>
      </rPr>
      <t xml:space="preserve">KCI </t>
    </r>
    <r>
      <rPr>
        <sz val="10"/>
        <rFont val="Noto Sans CJK SC"/>
        <family val="2"/>
      </rPr>
      <t xml:space="preserve">문헌유사도검사 서비스로 </t>
    </r>
    <r>
      <rPr>
        <sz val="10"/>
        <rFont val="Arial"/>
        <family val="0"/>
        <charset val="1"/>
      </rPr>
      <t xml:space="preserve">20% </t>
    </r>
    <r>
      <rPr>
        <sz val="10"/>
        <rFont val="Noto Sans CJK SC"/>
        <family val="2"/>
      </rPr>
      <t xml:space="preserve">미만 확인 후 결과지 보관</t>
    </r>
  </si>
  <si>
    <t xml:space="preserve">회원 자격·투고 절차</t>
  </si>
  <si>
    <t xml:space="preserve">미확인</t>
  </si>
  <si>
    <t xml:space="preserve">한국ITS학회 회원가입·당해연도 회비 납부, 저작권 이양 동의서·연구윤리 서약서 준비, 심사료·게재료 확인</t>
  </si>
  <si>
    <t xml:space="preserve">사사 표기</t>
  </si>
  <si>
    <t xml:space="preserve">연구비 지원 표기 없음</t>
  </si>
  <si>
    <t xml:space="preserve">한국철도기술연구원 과제 여부 확인 후 사사 문구 삽입</t>
  </si>
  <si>
    <t xml:space="preserve">⚠ 시드 46 이상치 규명</t>
  </si>
  <si>
    <t xml:space="preserve">전 교차로 감응식 시드 46에서 승용차 완주 6,262→4,630대(−26%), 최대 통행시간 1,848 s. 이 한 시드가 Table 5의 승용차 −5.7%를 만들고 있으며 포함 시 paired t-test p=0.063으로 비유의</t>
  </si>
  <si>
    <t xml:space="preserve">시드 46 재실행 또는 로그 분석. 실제 정체면 별도 서술, 미수렴이면 재실행. 제외 시 −3.5%·p=0.004로 명확히 유의</t>
  </si>
  <si>
    <t xml:space="preserve">통계검정_결과 2번 시트</t>
  </si>
  <si>
    <r>
      <rPr>
        <sz val="10"/>
        <rFont val="Arial"/>
        <family val="0"/>
        <charset val="1"/>
      </rPr>
      <t xml:space="preserve">07-28 </t>
    </r>
    <r>
      <rPr>
        <sz val="10"/>
        <rFont val="Noto Sans CJK SC"/>
        <family val="2"/>
      </rPr>
      <t xml:space="preserve">규명 완료 — 역방향 본선 과포화 발산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추세 </t>
    </r>
    <r>
      <rPr>
        <sz val="10"/>
        <rFont val="Arial"/>
        <family val="0"/>
        <charset val="1"/>
      </rPr>
      <t xml:space="preserve">+159s/1000s). </t>
    </r>
    <r>
      <rPr>
        <sz val="10"/>
        <rFont val="Noto Sans CJK SC"/>
        <family val="2"/>
      </rPr>
      <t xml:space="preserve">후기 코드에서는 정상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통계검정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결과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번 시트</t>
    </r>
  </si>
  <si>
    <r>
      <rPr>
        <sz val="10"/>
        <rFont val="Arial"/>
        <family val="0"/>
        <charset val="1"/>
      </rPr>
      <t xml:space="preserve">⚠ Table 6 </t>
    </r>
    <r>
      <rPr>
        <sz val="10"/>
        <rFont val="Noto Sans CJK SC"/>
        <family val="2"/>
      </rPr>
      <t xml:space="preserve">고정식 행 출처 확인</t>
    </r>
  </si>
  <si>
    <r>
      <rPr>
        <sz val="10"/>
        <rFont val="Arial"/>
        <family val="0"/>
        <charset val="1"/>
      </rPr>
      <t xml:space="preserve">car 37.24±0.29·bus 30.76±0.61</t>
    </r>
    <r>
      <rPr>
        <sz val="10"/>
        <rFont val="Noto Sans CJK SC"/>
        <family val="2"/>
      </rPr>
      <t xml:space="preserve">이 번들의 어떤 결과셋과도 불일치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초기 </t>
    </r>
    <r>
      <rPr>
        <sz val="10"/>
        <rFont val="Arial"/>
        <family val="0"/>
        <charset val="1"/>
      </rPr>
      <t xml:space="preserve">fixed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38.72·30.85). tram </t>
    </r>
    <r>
      <rPr>
        <sz val="10"/>
        <rFont val="Noto Sans CJK SC"/>
        <family val="2"/>
      </rPr>
      <t xml:space="preserve">값만 초기 </t>
    </r>
    <r>
      <rPr>
        <sz val="10"/>
        <rFont val="Arial"/>
        <family val="0"/>
        <charset val="1"/>
      </rPr>
      <t xml:space="preserve">fixed</t>
    </r>
    <r>
      <rPr>
        <sz val="10"/>
        <rFont val="Noto Sans CJK SC"/>
        <family val="2"/>
      </rPr>
      <t xml:space="preserve">와 일치 — 두 실행의 합성 의심</t>
    </r>
  </si>
  <si>
    <t xml:space="preserve">후기 코드 상태의 고정식 재측정 결과셋을 찾거나 재실행. Table 6 전 변화율의 기준 행</t>
  </si>
  <si>
    <t xml:space="preserve">통계검정_결과 3번 시트</t>
  </si>
  <si>
    <r>
      <rPr>
        <sz val="10"/>
        <rFont val="Arial"/>
        <family val="0"/>
        <charset val="1"/>
      </rPr>
      <t xml:space="preserve">07-28 </t>
    </r>
    <r>
      <rPr>
        <sz val="10"/>
        <rFont val="Noto Sans CJK SC"/>
        <family val="2"/>
      </rPr>
      <t xml:space="preserve">원인 확인 — 같은 </t>
    </r>
    <r>
      <rPr>
        <sz val="10"/>
        <rFont val="Arial"/>
        <family val="0"/>
        <charset val="1"/>
      </rPr>
      <t xml:space="preserve">--out </t>
    </r>
    <r>
      <rPr>
        <sz val="10"/>
        <rFont val="Noto Sans CJK SC"/>
        <family val="2"/>
      </rPr>
      <t xml:space="preserve">에 재실행해 </t>
    </r>
    <r>
      <rPr>
        <sz val="10"/>
        <rFont val="Arial"/>
        <family val="0"/>
        <charset val="1"/>
      </rPr>
      <t xml:space="preserve">tag(daejeon) </t>
    </r>
    <r>
      <rPr>
        <sz val="10"/>
        <rFont val="Noto Sans CJK SC"/>
        <family val="2"/>
      </rPr>
      <t xml:space="preserve">파일이 덮어써짐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재실행 명령은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번 시트 ①</t>
    </r>
  </si>
  <si>
    <t xml:space="preserve">표준편차 자유도 표기</t>
  </si>
  <si>
    <t xml:space="preserve">논문의 ± 는 모표준편차(ddof=0). 고정식 트램 0.269(게재 0.27) vs 표본표준편차 0.301</t>
  </si>
  <si>
    <t xml:space="preserve">전 표를 표본표준편차로 재계산하거나 '모표준편차 기준' 각주 추가</t>
  </si>
  <si>
    <t xml:space="preserve">통계검정_결과 0번 시트</t>
  </si>
  <si>
    <r>
      <rPr>
        <sz val="10"/>
        <rFont val="Arial"/>
        <family val="0"/>
        <charset val="1"/>
      </rPr>
      <t xml:space="preserve">07-28 v3</t>
    </r>
    <r>
      <rPr>
        <sz val="10"/>
        <rFont val="Noto Sans CJK SC"/>
        <family val="2"/>
      </rPr>
      <t xml:space="preserve">에서 표본표준편차 병기 대신 통계검정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결과 표 사용 예정 — 본문 표기는 각주 처리 권장</t>
    </r>
  </si>
  <si>
    <t xml:space="preserve">추가 시뮬레이션 실험 설계</t>
  </si>
  <si>
    <t xml:space="preserve">런 수 = 수준수 × 전략수 × 시드수 (자동 계산). 1런 소요는 워밍업 2,300 s + 측정 3,600 s 기준 실측치를 입력하십시오.</t>
  </si>
  <si>
    <t xml:space="preserve">실험ID</t>
  </si>
  <si>
    <t xml:space="preserve">목적 — 어떤 심사 지적을 막는가</t>
  </si>
  <si>
    <t xml:space="preserve">변수</t>
  </si>
  <si>
    <t xml:space="preserve">수준</t>
  </si>
  <si>
    <t xml:space="preserve">수준수</t>
  </si>
  <si>
    <t xml:space="preserve">전략수</t>
  </si>
  <si>
    <t xml:space="preserve">시드수</t>
  </si>
  <si>
    <t xml:space="preserve">총 런 수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</si>
  <si>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런 소요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</si>
  <si>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총 소요(h)</t>
  </si>
  <si>
    <t xml:space="preserve">E1</t>
  </si>
  <si>
    <t xml:space="preserve">가상 수요 등가화(120회/시)가 결과의 산물이라는 지적 차단 — 현재 가장 약한 고리</t>
  </si>
  <si>
    <t xml:space="preserve">부현시 가상 호출빈도</t>
  </si>
  <si>
    <r>
      <rPr>
        <sz val="10"/>
        <rFont val="Arial"/>
        <family val="0"/>
        <charset val="1"/>
      </rPr>
      <t xml:space="preserve">60 / 90 / 120 / 180 / 240 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시</t>
    </r>
  </si>
  <si>
    <t xml:space="preserve">E2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</si>
  <si>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시드 검정력 부족 지적 차단 — </t>
    </r>
    <r>
      <rPr>
        <sz val="10"/>
        <rFont val="Arial"/>
        <family val="0"/>
        <charset val="1"/>
      </rPr>
      <t xml:space="preserve">n=5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Wilcoxon </t>
    </r>
    <r>
      <rPr>
        <sz val="10"/>
        <rFont val="Noto Sans CJK SC"/>
        <family val="2"/>
      </rPr>
      <t xml:space="preserve">양측 최소 달성 </t>
    </r>
    <r>
      <rPr>
        <sz val="10"/>
        <rFont val="Arial"/>
        <family val="0"/>
        <charset val="1"/>
      </rPr>
      <t xml:space="preserve">p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0.0625</t>
    </r>
    <r>
      <rPr>
        <sz val="10"/>
        <rFont val="Noto Sans CJK SC"/>
        <family val="2"/>
      </rPr>
      <t xml:space="preserve">여서 비모수검정으로 유의성 주장이 수학적으로 불가</t>
    </r>
    <r>
      <rPr>
        <sz val="10"/>
        <rFont val="Arial"/>
        <family val="0"/>
        <charset val="1"/>
      </rPr>
      <t xml:space="preserve">. n=7</t>
    </r>
    <r>
      <rPr>
        <sz val="10"/>
        <rFont val="Noto Sans CJK SC"/>
        <family val="2"/>
      </rPr>
      <t xml:space="preserve">이면 </t>
    </r>
    <r>
      <rPr>
        <sz val="10"/>
        <rFont val="Arial"/>
        <family val="0"/>
        <charset val="1"/>
      </rPr>
      <t xml:space="preserve">0.0156</t>
    </r>
    <r>
      <rPr>
        <sz val="10"/>
        <rFont val="Noto Sans CJK SC"/>
        <family val="2"/>
      </rPr>
      <t xml:space="preserve">으로 해소</t>
    </r>
  </si>
  <si>
    <t xml:space="preserve">난수시드</t>
  </si>
  <si>
    <t xml:space="preserve">시드 47~48 (최소, n=7) / 47~51 (권장, n=10)</t>
  </si>
  <si>
    <t xml:space="preserve">E3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</si>
  <si>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옵셋 양극화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점</t>
    </r>
    <r>
      <rPr>
        <sz val="10"/>
        <rFont val="Arial"/>
        <family val="0"/>
        <charset val="1"/>
      </rPr>
      <t xml:space="preserve">(0, 45 s) </t>
    </r>
    <r>
      <rPr>
        <sz val="10"/>
        <rFont val="Noto Sans CJK SC"/>
        <family val="2"/>
      </rPr>
      <t xml:space="preserve">비교라는 지적 차단</t>
    </r>
  </si>
  <si>
    <t xml:space="preserve">교차로 옵셋</t>
  </si>
  <si>
    <r>
      <rPr>
        <sz val="10"/>
        <rFont val="Arial"/>
        <family val="0"/>
        <charset val="1"/>
      </rPr>
      <t xml:space="preserve">0~90 s, 5 s </t>
    </r>
    <r>
      <rPr>
        <sz val="10"/>
        <rFont val="Noto Sans CJK SC"/>
        <family val="2"/>
      </rPr>
      <t xml:space="preserve">간격</t>
    </r>
  </si>
  <si>
    <t xml:space="preserve">E4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</si>
  <si>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옵셋 정합형은 배차 변동에 취약</t>
    </r>
    <r>
      <rPr>
        <sz val="10"/>
        <rFont val="Arial"/>
        <family val="0"/>
        <charset val="1"/>
      </rPr>
      <t xml:space="preserve">'(IV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직접 증거 확보</t>
    </r>
  </si>
  <si>
    <t xml:space="preserve">트램 배차간격</t>
  </si>
  <si>
    <r>
      <rPr>
        <sz val="10"/>
        <rFont val="Arial"/>
        <family val="0"/>
        <charset val="1"/>
      </rPr>
      <t xml:space="preserve">6 / 8 / 10 </t>
    </r>
    <r>
      <rPr>
        <sz val="10"/>
        <rFont val="Noto Sans CJK SC"/>
        <family val="2"/>
      </rPr>
      <t xml:space="preserve">분</t>
    </r>
  </si>
  <si>
    <t xml:space="preserve">E5</t>
  </si>
  <si>
    <t xml:space="preserve">단일 교통량(1,800대/시) 조건의 외적 타당성 확보</t>
  </si>
  <si>
    <t xml:space="preserve">간선 교통량</t>
  </si>
  <si>
    <r>
      <rPr>
        <sz val="10"/>
        <rFont val="Arial"/>
        <family val="0"/>
        <charset val="1"/>
      </rPr>
      <t xml:space="preserve">1,440 / 1,800 / 2,160 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시</t>
    </r>
  </si>
  <si>
    <t xml:space="preserve">E6</t>
  </si>
  <si>
    <t xml:space="preserve">보행 감응 결론(연동식 포화)의 조건 확대</t>
  </si>
  <si>
    <t xml:space="preserve">보행 수요 × 전략</t>
  </si>
  <si>
    <r>
      <rPr>
        <sz val="10"/>
        <rFont val="Arial"/>
        <family val="0"/>
        <charset val="1"/>
      </rPr>
      <t xml:space="preserve">0 / 60 / 240 </t>
    </r>
    <r>
      <rPr>
        <sz val="10"/>
        <rFont val="Noto Sans CJK SC"/>
        <family val="2"/>
      </rPr>
      <t xml:space="preserve">인</t>
    </r>
    <r>
      <rPr>
        <sz val="10"/>
        <rFont val="Arial"/>
        <family val="0"/>
        <charset val="1"/>
      </rPr>
      <t xml:space="preserve">/h × </t>
    </r>
    <r>
      <rPr>
        <sz val="10"/>
        <rFont val="Noto Sans CJK SC"/>
        <family val="2"/>
      </rPr>
      <t xml:space="preserve">연동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부분우선</t>
    </r>
  </si>
  <si>
    <t xml:space="preserve">E7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</si>
  <si>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논문 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용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신호전략이 자율주행 트램 주행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판단에 미치는 영향 정량화</t>
    </r>
  </si>
  <si>
    <t xml:space="preserve">신호전략 × VLA 지표</t>
  </si>
  <si>
    <t xml:space="preserve">고정식 / 자유감응 / 연동+부분</t>
  </si>
  <si>
    <t xml:space="preserve">합계 (E1~E6 = 논문 A / E7 = 논문 B)</t>
  </si>
  <si>
    <t xml:space="preserve">논문 A 필수분만 (E1+E2)</t>
  </si>
  <si>
    <t xml:space="preserve">※ 총 소요(h)는 단일 프로세스 직렬 실행 기준입니다. 시드·수준은 서로 독립이므로 병렬 실행 시 코어 수만큼 단축됩니다.</t>
  </si>
  <si>
    <r>
      <rPr>
        <i val="true"/>
        <sz val="9"/>
        <color rgb="FF555555"/>
        <rFont val="Arial"/>
        <family val="0"/>
        <charset val="1"/>
      </rPr>
      <t xml:space="preserve">※ E1</t>
    </r>
    <r>
      <rPr>
        <i val="true"/>
        <sz val="9"/>
        <color rgb="FF555555"/>
        <rFont val="Noto Sans CJK SC"/>
        <family val="2"/>
      </rPr>
      <t xml:space="preserve">은 난수 스트림이 본 스트림과 분리되어 있으므로</t>
    </r>
    <r>
      <rPr>
        <i val="true"/>
        <sz val="9"/>
        <color rgb="FF555555"/>
        <rFont val="Arial"/>
        <family val="0"/>
        <charset val="1"/>
      </rPr>
      <t xml:space="preserve">(IV</t>
    </r>
    <r>
      <rPr>
        <i val="true"/>
        <sz val="9"/>
        <color rgb="FF555555"/>
        <rFont val="Noto Sans CJK SC"/>
        <family val="2"/>
      </rPr>
      <t xml:space="preserve">장 </t>
    </r>
    <r>
      <rPr>
        <i val="true"/>
        <sz val="9"/>
        <color rgb="FF555555"/>
        <rFont val="Arial"/>
        <family val="0"/>
        <charset val="1"/>
      </rPr>
      <t xml:space="preserve">2</t>
    </r>
    <r>
      <rPr>
        <i val="true"/>
        <sz val="9"/>
        <color rgb="FF555555"/>
        <rFont val="Noto Sans CJK SC"/>
        <family val="2"/>
      </rPr>
      <t xml:space="preserve">절</t>
    </r>
    <r>
      <rPr>
        <i val="true"/>
        <sz val="9"/>
        <color rgb="FF555555"/>
        <rFont val="Arial"/>
        <family val="0"/>
        <charset val="1"/>
      </rPr>
      <t xml:space="preserve">) </t>
    </r>
    <r>
      <rPr>
        <i val="true"/>
        <sz val="9"/>
        <color rgb="FF555555"/>
        <rFont val="Noto Sans CJK SC"/>
        <family val="2"/>
      </rPr>
      <t xml:space="preserve">시드 페어링을 유지한 채 호출빈도만 변경하면 됩니다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</si>
  <si>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현재 원고 보유 산출물 인벤토리 (paper_kci_v1.docx)</t>
  </si>
  <si>
    <t xml:space="preserve">현황 기록용 — 분량 판정의 근거입니다. 수정하지 마십시오.</t>
  </si>
  <si>
    <t xml:space="preserve">번호·제목</t>
  </si>
  <si>
    <t xml:space="preserve">내용 요약</t>
  </si>
  <si>
    <t xml:space="preserve">논문 A/B 배분</t>
  </si>
  <si>
    <t xml:space="preserve">비고</t>
  </si>
  <si>
    <t xml:space="preserve">Table</t>
  </si>
  <si>
    <r>
      <rPr>
        <sz val="10"/>
        <rFont val="Arial"/>
        <family val="0"/>
        <charset val="1"/>
      </rPr>
      <t xml:space="preserve">Table 1. </t>
    </r>
    <r>
      <rPr>
        <sz val="10"/>
        <rFont val="Noto Sans CJK SC"/>
        <family val="2"/>
      </rPr>
      <t xml:space="preserve">국내 선행연구와 본 연구의 비교</t>
    </r>
  </si>
  <si>
    <t xml:space="preserve">분석도구·공간범위·평가방법·보행자감응·자율주행연계 5축 비교 (6행×3열)</t>
  </si>
  <si>
    <t xml:space="preserve">A</t>
  </si>
  <si>
    <t xml:space="preserve">차별성 근거</t>
  </si>
  <si>
    <r>
      <rPr>
        <sz val="10"/>
        <rFont val="Arial"/>
        <family val="0"/>
        <charset val="1"/>
      </rPr>
      <t xml:space="preserve">Table 2. </t>
    </r>
    <r>
      <rPr>
        <sz val="10"/>
        <rFont val="Noto Sans CJK SC"/>
        <family val="2"/>
      </rPr>
      <t xml:space="preserve">차종별 주요 거동 파라미터</t>
    </r>
  </si>
  <si>
    <t xml:space="preserve">승용차/버스/트램 CC0·CC1·CC8·CC9·길이·최고속도 (7행×4열)</t>
  </si>
  <si>
    <r>
      <rPr>
        <sz val="10"/>
        <rFont val="Arial"/>
        <family val="0"/>
        <charset val="1"/>
      </rPr>
      <t xml:space="preserve">Table 3. </t>
    </r>
    <r>
      <rPr>
        <sz val="10"/>
        <rFont val="Noto Sans CJK SC"/>
        <family val="2"/>
      </rPr>
      <t xml:space="preserve">감응식 컨트롤러 파라미터</t>
    </r>
  </si>
  <si>
    <t xml:space="preserve">최소·최대 녹색, gap-out 2.5 s, 체크인 3–280 m, 최대대기 75 s (8행×3열)</t>
  </si>
  <si>
    <r>
      <rPr>
        <sz val="10"/>
        <rFont val="Arial"/>
        <family val="0"/>
        <charset val="1"/>
      </rPr>
      <t xml:space="preserve">Table 4. </t>
    </r>
    <r>
      <rPr>
        <sz val="10"/>
        <rFont val="Noto Sans CJK SC"/>
        <family val="2"/>
      </rPr>
      <t xml:space="preserve">교차로 수준 비교</t>
    </r>
  </si>
  <si>
    <t xml:space="preserve">고정식(유리/불리 옵셋) vs 감응식 — 통과시간 13.7/36.0/15.4 s, 정지 0·12·1/12</t>
  </si>
  <si>
    <r>
      <rPr>
        <sz val="10"/>
        <rFont val="Arial"/>
        <family val="0"/>
        <charset val="1"/>
      </rPr>
      <t xml:space="preserve">E3</t>
    </r>
    <r>
      <rPr>
        <sz val="10"/>
        <rFont val="Noto Sans CJK SC"/>
        <family val="2"/>
      </rPr>
      <t xml:space="preserve">로 확장 권고</t>
    </r>
  </si>
  <si>
    <r>
      <rPr>
        <sz val="10"/>
        <rFont val="Arial"/>
        <family val="0"/>
        <charset val="1"/>
      </rPr>
      <t xml:space="preserve">Table 5. </t>
    </r>
    <r>
      <rPr>
        <sz val="10"/>
        <rFont val="Noto Sans CJK SC"/>
        <family val="2"/>
      </rPr>
      <t xml:space="preserve">노선 수준 비교 </t>
    </r>
    <r>
      <rPr>
        <sz val="10"/>
        <rFont val="Arial"/>
        <family val="0"/>
        <charset val="1"/>
      </rPr>
      <t xml:space="preserve">(5</t>
    </r>
    <r>
      <rPr>
        <sz val="10"/>
        <rFont val="Noto Sans CJK SC"/>
        <family val="2"/>
      </rPr>
      <t xml:space="preserve">시드</t>
    </r>
    <r>
      <rPr>
        <sz val="10"/>
        <rFont val="Arial"/>
        <family val="0"/>
        <charset val="1"/>
      </rPr>
      <t xml:space="preserve">×1h)</t>
    </r>
  </si>
  <si>
    <t xml:space="preserve">표정속도 26.79→28.37, 순환시간 4,533→4,282 s, 승용차 −5.7%, 버스 −5.2%</t>
  </si>
  <si>
    <r>
      <rPr>
        <sz val="10"/>
        <rFont val="Arial"/>
        <family val="0"/>
        <charset val="1"/>
      </rPr>
      <t xml:space="preserve">p</t>
    </r>
    <r>
      <rPr>
        <sz val="10"/>
        <rFont val="Noto Sans CJK SC"/>
        <family val="2"/>
      </rPr>
      <t xml:space="preserve">값 열 추가 필요</t>
    </r>
  </si>
  <si>
    <r>
      <rPr>
        <sz val="10"/>
        <rFont val="Arial"/>
        <family val="0"/>
        <charset val="1"/>
      </rPr>
      <t xml:space="preserve">Table 6. </t>
    </r>
    <r>
      <rPr>
        <sz val="10"/>
        <rFont val="Noto Sans CJK SC"/>
        <family val="2"/>
      </rPr>
      <t xml:space="preserve">신호 운영전략별 성능</t>
    </r>
  </si>
  <si>
    <t xml:space="preserve">고정식/자유감응/연동+부분우선 3전략 — 트램 +5.0%, 승용차 −2.7%</t>
  </si>
  <si>
    <r>
      <rPr>
        <sz val="10"/>
        <rFont val="Arial"/>
        <family val="0"/>
        <charset val="1"/>
      </rPr>
      <t xml:space="preserve">Table 5</t>
    </r>
    <r>
      <rPr>
        <sz val="10"/>
        <rFont val="Noto Sans CJK SC"/>
        <family val="2"/>
      </rPr>
      <t xml:space="preserve">와 값 통일 필요</t>
    </r>
  </si>
  <si>
    <r>
      <rPr>
        <sz val="10"/>
        <rFont val="Arial"/>
        <family val="0"/>
        <charset val="1"/>
      </rPr>
      <t xml:space="preserve">Table 7. </t>
    </r>
    <r>
      <rPr>
        <sz val="10"/>
        <rFont val="Noto Sans CJK SC"/>
        <family val="2"/>
      </rPr>
      <t xml:space="preserve">보행자 감응의 용량 비용</t>
    </r>
  </si>
  <si>
    <t xml:space="preserve">보행수요 4수준 × 2전략 승용차 평균속도 (34.94→22.73 vs 36.25→34.68)</t>
  </si>
  <si>
    <t xml:space="preserve">Figure</t>
  </si>
  <si>
    <r>
      <rPr>
        <sz val="10"/>
        <rFont val="Arial"/>
        <family val="0"/>
        <charset val="1"/>
      </rPr>
      <t xml:space="preserve">Figure 1. </t>
    </r>
    <r>
      <rPr>
        <sz val="10"/>
        <rFont val="Noto Sans CJK SC"/>
        <family val="2"/>
      </rPr>
      <t xml:space="preserve">교차로 통과시간 비교</t>
    </r>
  </si>
  <si>
    <r>
      <rPr>
        <sz val="10"/>
        <rFont val="Arial"/>
        <family val="0"/>
        <charset val="1"/>
      </rPr>
      <t xml:space="preserve">160 m </t>
    </r>
    <r>
      <rPr>
        <sz val="10"/>
        <rFont val="Noto Sans CJK SC"/>
        <family val="2"/>
      </rPr>
      <t xml:space="preserve">구간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트램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대</t>
    </r>
  </si>
  <si>
    <r>
      <rPr>
        <sz val="10"/>
        <rFont val="Arial"/>
        <family val="0"/>
        <charset val="1"/>
      </rPr>
      <t xml:space="preserve">Figure 2. </t>
    </r>
    <r>
      <rPr>
        <sz val="10"/>
        <rFont val="Noto Sans CJK SC"/>
        <family val="2"/>
      </rPr>
      <t xml:space="preserve">노선 수준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시드 비교</t>
    </r>
  </si>
  <si>
    <t xml:space="preserve">막대 평균±SD, 점 시드별 값</t>
  </si>
  <si>
    <t xml:space="preserve">흑백 가독성 확인</t>
  </si>
  <si>
    <r>
      <rPr>
        <sz val="10"/>
        <rFont val="Arial"/>
        <family val="0"/>
        <charset val="1"/>
      </rPr>
      <t xml:space="preserve">Figure 3. </t>
    </r>
    <r>
      <rPr>
        <sz val="10"/>
        <rFont val="Noto Sans CJK SC"/>
        <family val="2"/>
      </rPr>
      <t xml:space="preserve">연동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부분우선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보행감응 운영 예</t>
    </r>
  </si>
  <si>
    <t xml:space="preserve">옵셋 0 기준 2주기 타임차트</t>
  </si>
  <si>
    <r>
      <rPr>
        <sz val="10"/>
        <rFont val="Arial"/>
        <family val="0"/>
        <charset val="1"/>
      </rPr>
      <t xml:space="preserve">Figure 4. </t>
    </r>
    <r>
      <rPr>
        <sz val="10"/>
        <rFont val="Noto Sans CJK SC"/>
        <family val="2"/>
      </rPr>
      <t xml:space="preserve">트램–일반차 트레이드오프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</si>
  <si>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시드 평균</t>
    </r>
    <r>
      <rPr>
        <sz val="10"/>
        <rFont val="Arial"/>
        <family val="0"/>
        <charset val="1"/>
      </rPr>
      <t xml:space="preserve">±SD </t>
    </r>
    <r>
      <rPr>
        <sz val="10"/>
        <rFont val="Noto Sans CJK SC"/>
        <family val="2"/>
      </rPr>
      <t xml:space="preserve">산점</t>
    </r>
  </si>
  <si>
    <t xml:space="preserve">논문 핵심 그림</t>
  </si>
  <si>
    <r>
      <rPr>
        <sz val="10"/>
        <rFont val="Arial"/>
        <family val="0"/>
        <charset val="1"/>
      </rPr>
      <t xml:space="preserve">Figure 5. </t>
    </r>
    <r>
      <rPr>
        <sz val="10"/>
        <rFont val="Noto Sans CJK SC"/>
        <family val="2"/>
      </rPr>
      <t xml:space="preserve">보행 감응 용량 비용</t>
    </r>
  </si>
  <si>
    <t xml:space="preserve">횡단수요×전략별 승용차 평균속도</t>
  </si>
  <si>
    <r>
      <rPr>
        <sz val="10"/>
        <rFont val="Arial"/>
        <family val="0"/>
        <charset val="1"/>
      </rPr>
      <t xml:space="preserve">Figure 6. Isaac Sim </t>
    </r>
    <r>
      <rPr>
        <sz val="10"/>
        <rFont val="Noto Sans CJK SC"/>
        <family val="2"/>
      </rPr>
      <t xml:space="preserve">도심 씬</t>
    </r>
  </si>
  <si>
    <t xml:space="preserve">둔산 1,400동 건물, 40개 정거장, 한국 표준 노면표시</t>
  </si>
  <si>
    <t xml:space="preserve">B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</si>
  <si>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에는 축약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점만</t>
    </r>
  </si>
  <si>
    <r>
      <rPr>
        <sz val="10"/>
        <rFont val="Arial"/>
        <family val="0"/>
        <charset val="1"/>
      </rPr>
      <t xml:space="preserve">Figure 7. </t>
    </r>
    <r>
      <rPr>
        <sz val="10"/>
        <rFont val="Noto Sans CJK SC"/>
        <family val="2"/>
      </rPr>
      <t xml:space="preserve">자율주행 트램 적신호 접근</t>
    </r>
  </si>
  <si>
    <t xml:space="preserve">인지 오버레이 100 m 내 객체 50건, STOPPING·RED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</si>
  <si>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에는 미수록 권고</t>
    </r>
  </si>
  <si>
    <t xml:space="preserve">검증</t>
  </si>
  <si>
    <t xml:space="preserve">엔진 검증 5항목</t>
  </si>
  <si>
    <t xml:space="preserve">포화차두 1.96 s, 좌회전지체 39.0±6.9 s, 연동 18.9/70.5 s, 무충돌, 시드 재현성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</si>
  <si>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 수치 수정 필요</t>
    </r>
  </si>
  <si>
    <t xml:space="preserve">기본계획 대조</t>
  </si>
  <si>
    <t xml:space="preserve">표정속도 26.8 vs 계획 22.06 km/h (+21%) — 낙관 편의 공개</t>
  </si>
  <si>
    <t xml:space="preserve">상대비교 논리로 방어</t>
  </si>
  <si>
    <t xml:space="preserve">실험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</si>
  <si>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시드 짝 비교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세트</t>
    </r>
  </si>
  <si>
    <t xml:space="preserve">고정식 / 자유감응 / 연동+부분우선, 워밍업 2,300 s + 측정 3,600 s</t>
  </si>
  <si>
    <t xml:space="preserve">시드 42~46</t>
  </si>
  <si>
    <t xml:space="preserve">보행 감응 4수준</t>
  </si>
  <si>
    <t xml:space="preserve">없음/60/240 인/h/왕복 상시 × 2전략</t>
  </si>
  <si>
    <r>
      <rPr>
        <sz val="10"/>
        <rFont val="Arial"/>
        <family val="0"/>
        <charset val="1"/>
      </rPr>
      <t xml:space="preserve">Isaac Sim </t>
    </r>
    <r>
      <rPr>
        <sz val="10"/>
        <rFont val="Noto Sans CJK SC"/>
        <family val="2"/>
      </rPr>
      <t xml:space="preserve">폐루프</t>
    </r>
  </si>
  <si>
    <r>
      <rPr>
        <sz val="10"/>
        <rFont val="Arial"/>
        <family val="0"/>
        <charset val="1"/>
      </rPr>
      <t xml:space="preserve">Alpamayo-R1(10B) </t>
    </r>
    <r>
      <rPr>
        <sz val="10"/>
        <rFont val="Noto Sans CJK SC"/>
        <family val="2"/>
      </rPr>
      <t xml:space="preserve">원격 </t>
    </r>
    <r>
      <rPr>
        <sz val="10"/>
        <rFont val="Arial"/>
        <family val="0"/>
        <charset val="1"/>
      </rPr>
      <t xml:space="preserve">A100 </t>
    </r>
    <r>
      <rPr>
        <sz val="10"/>
        <rFont val="Noto Sans CJK SC"/>
        <family val="2"/>
      </rPr>
      <t xml:space="preserve">추론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레일 거버너 궤도이탈 </t>
    </r>
    <r>
      <rPr>
        <sz val="10"/>
        <rFont val="Arial"/>
        <family val="0"/>
        <charset val="1"/>
      </rPr>
      <t xml:space="preserve">9.5→0.4 m</t>
    </r>
  </si>
  <si>
    <t xml:space="preserve">정량평가 미실시</t>
  </si>
  <si>
    <t xml:space="preserve">참고문헌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</si>
  <si>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건</t>
    </r>
  </si>
  <si>
    <r>
      <rPr>
        <sz val="10"/>
        <rFont val="Arial"/>
        <family val="0"/>
        <charset val="1"/>
      </rPr>
      <t xml:space="preserve">Wiedemann, PTV, TSP Handbook, </t>
    </r>
    <r>
      <rPr>
        <sz val="10"/>
        <rFont val="Noto Sans CJK SC"/>
        <family val="2"/>
      </rPr>
      <t xml:space="preserve">국내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대전 기본계획</t>
    </r>
    <r>
      <rPr>
        <sz val="10"/>
        <rFont val="Arial"/>
        <family val="0"/>
        <charset val="1"/>
      </rPr>
      <t xml:space="preserve">, OSM, Isaac Sim, Alpamayo-R1</t>
    </r>
  </si>
  <si>
    <t xml:space="preserve">A/B</t>
  </si>
  <si>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건 이상으로 확대</t>
    </r>
  </si>
  <si>
    <t xml:space="preserve">논문 2편 분리 전략</t>
  </si>
  <si>
    <t xml:space="preserve">현재 원고는 신호제어(I~IV장)와 3D 공동시뮬레이션(V장)이라는 성격이 다른 두 기여를 담고 있어 1.5편 분량입니다.</t>
  </si>
  <si>
    <t xml:space="preserve">논문 A (우선 투고)</t>
  </si>
  <si>
    <t xml:space="preserve">논문 B (후속)</t>
  </si>
  <si>
    <t xml:space="preserve">가제</t>
  </si>
  <si>
    <t xml:space="preserve">미시교통시뮬레이션 기반 노면전차 우선신호 감응식 제어의 효과 분석: 대전 도시철도 2호선 사례 (현 제목 유지)</t>
  </si>
  <si>
    <t xml:space="preserve">미시교통 시뮬레이션과 Isaac Sim 연계 3차원 공동 시뮬레이션 환경 구축 및 자율주행 트램 적용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</si>
  <si>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는 방법론 논문 성격</t>
    </r>
  </si>
  <si>
    <t xml:space="preserve">투고처</t>
  </si>
  <si>
    <t xml:space="preserve">한국ITS학회 논문지 (연 6회, 2·4·6·8·10·12월 말)</t>
  </si>
  <si>
    <t xml:space="preserve">한국시뮬레이션학회 논문지 (연 4회) — 대안: 한국도시철도학회 논문집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</si>
  <si>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R-4</t>
    </r>
    <r>
      <rPr>
        <sz val="10"/>
        <rFont val="Noto Sans CJK SC"/>
        <family val="2"/>
      </rPr>
      <t xml:space="preserve">가 이미 동 학회지 인용 → 유리</t>
    </r>
  </si>
  <si>
    <t xml:space="preserve">목표 호</t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</si>
  <si>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일 발간호 →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중순 투고</t>
    </r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</si>
  <si>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월호 또는 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월호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</si>
  <si>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심사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회전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수정 기준</t>
    </r>
  </si>
  <si>
    <t xml:space="preserve">구성</t>
  </si>
  <si>
    <r>
      <rPr>
        <sz val="10"/>
        <rFont val="Arial"/>
        <family val="0"/>
        <charset val="1"/>
      </rPr>
      <t xml:space="preserve">I~IV</t>
    </r>
    <r>
      <rPr>
        <sz val="10"/>
        <rFont val="Noto Sans CJK SC"/>
        <family val="2"/>
      </rPr>
      <t xml:space="preserve">장 전부 </t>
    </r>
    <r>
      <rPr>
        <sz val="10"/>
        <rFont val="Arial"/>
        <family val="0"/>
        <charset val="1"/>
      </rPr>
      <t xml:space="preserve">+ V</t>
    </r>
    <r>
      <rPr>
        <sz val="10"/>
        <rFont val="Noto Sans CJK SC"/>
        <family val="2"/>
      </rPr>
      <t xml:space="preserve">장을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환경 확장성</t>
    </r>
    <r>
      <rPr>
        <sz val="10"/>
        <rFont val="Arial"/>
        <family val="0"/>
        <charset val="1"/>
      </rPr>
      <t xml:space="preserve">' 1</t>
    </r>
    <r>
      <rPr>
        <sz val="10"/>
        <rFont val="Noto Sans CJK SC"/>
        <family val="2"/>
      </rPr>
      <t xml:space="preserve">문단으로 축약 </t>
    </r>
    <r>
      <rPr>
        <sz val="10"/>
        <rFont val="Arial"/>
        <family val="0"/>
        <charset val="1"/>
      </rPr>
      <t xml:space="preserve">(Figure 6 1</t>
    </r>
    <r>
      <rPr>
        <sz val="10"/>
        <rFont val="Noto Sans CJK SC"/>
        <family val="2"/>
      </rPr>
      <t xml:space="preserve">점만 유지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</si>
  <si>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V</t>
    </r>
    <r>
      <rPr>
        <sz val="10"/>
        <rFont val="Noto Sans CJK SC"/>
        <family val="2"/>
      </rPr>
      <t xml:space="preserve">장을 본문으로 승격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브리지 구조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권한 분리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레일 거버너</t>
    </r>
    <r>
      <rPr>
        <sz val="10"/>
        <rFont val="Arial"/>
        <family val="0"/>
        <charset val="1"/>
      </rPr>
      <t xml:space="preserve">, VLA </t>
    </r>
    <r>
      <rPr>
        <sz val="10"/>
        <rFont val="Noto Sans CJK SC"/>
        <family val="2"/>
      </rPr>
      <t xml:space="preserve">연계 </t>
    </r>
    <r>
      <rPr>
        <sz val="10"/>
        <rFont val="Arial"/>
        <family val="0"/>
        <charset val="1"/>
      </rPr>
      <t xml:space="preserve">+ E7 </t>
    </r>
    <r>
      <rPr>
        <sz val="10"/>
        <rFont val="Noto Sans CJK SC"/>
        <family val="2"/>
      </rPr>
      <t xml:space="preserve">정량평가</t>
    </r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</si>
  <si>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의 제목–내용 무게 일치 문제 해소</t>
    </r>
  </si>
  <si>
    <t xml:space="preserve">핵심 기여</t>
  </si>
  <si>
    <t xml:space="preserve">고정식→자유감응→연동+부분우선→보행감응을 단일 실험설계 위에서 정량화한 운영점 선택 프레임</t>
  </si>
  <si>
    <t xml:space="preserve">교통 권한은 미시엔진, 렌더링은 Isaac Sim이라는 권한 분리 구조 + 궤도계 차량용 레일 거버너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</si>
  <si>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SUMO–CARLA </t>
    </r>
    <r>
      <rPr>
        <sz val="10"/>
        <rFont val="Noto Sans CJK SC"/>
        <family val="2"/>
      </rPr>
      <t xml:space="preserve">대비 차별점 명시 필요</t>
    </r>
  </si>
  <si>
    <t xml:space="preserve">필요 추가작업</t>
  </si>
  <si>
    <t xml:space="preserve">즉시수정 9건 + 재분석 3건 + 실험 E1·E2 (E3는 여유 시)</t>
  </si>
  <si>
    <t xml:space="preserve">실험 E7 (신호준수율·정차정밀도·판단서술 일관성) + 참고문헌 확대</t>
  </si>
  <si>
    <r>
      <rPr>
        <sz val="10"/>
        <rFont val="Arial"/>
        <family val="0"/>
        <charset val="1"/>
      </rPr>
      <t xml:space="preserve">A 4~5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/ B 2~3</t>
    </r>
    <r>
      <rPr>
        <sz val="10"/>
        <rFont val="Noto Sans CJK SC"/>
        <family val="2"/>
      </rPr>
      <t xml:space="preserve">주</t>
    </r>
  </si>
  <si>
    <t xml:space="preserve">현재 확보율</t>
  </si>
  <si>
    <t xml:space="preserve">약 90% — 표 7점·그림 5점·5시드 3세트 완비</t>
  </si>
  <si>
    <t xml:space="preserve">약 45% — 환경은 완성, 정량 결과 부재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</si>
  <si>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는 실험이 관건</t>
    </r>
  </si>
  <si>
    <t xml:space="preserve">리스크</t>
  </si>
  <si>
    <t xml:space="preserve">자체 엔진(MyVISSIM) 신뢰성 질의 → II장 3절 검증과 상대비교 논리로 방어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</si>
  <si>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시연에 그친다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는 지적 → </t>
    </r>
    <r>
      <rPr>
        <sz val="10"/>
        <rFont val="Arial"/>
        <family val="0"/>
        <charset val="1"/>
      </rPr>
      <t xml:space="preserve">E7 </t>
    </r>
    <r>
      <rPr>
        <sz val="10"/>
        <rFont val="Noto Sans CJK SC"/>
        <family val="2"/>
      </rPr>
      <t xml:space="preserve">정량화가 필수</t>
    </r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</si>
  <si>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의 리스크는 관리 가능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</si>
</sst>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SC"/>
      <family val="2"/>
    </font>
    <font>
      <i val="true"/>
      <sz val="9"/>
      <color rgb="FF555555"/>
      <name val="Noto Sans CJK SC"/>
      <family val="2"/>
      <charset val="1"/>
    </font>
    <font>
      <sz val="10"/>
      <name val="Arial"/>
      <family val="0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Noto Sans CJK SC"/>
      <family val="2"/>
    </font>
    <font>
      <b val="true"/>
      <sz val="10"/>
      <color rgb="FFFFFFFF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4"/>
      <color rgb="FFFFFFFF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Noto Sans CJK SC"/>
      <family val="2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b val="true"/>
      <sz val="10"/>
      <color rgb="FFFFFFFF"/>
      <name val="Noto Sans CJK SC"/>
      <family val="2"/>
    </font>
    <font>
      <i val="true"/>
      <sz val="9"/>
      <color rgb="FF555555"/>
      <name val="Arial"/>
      <family val="0"/>
      <charset val="1"/>
    </font>
    <font>
      <i val="true"/>
      <sz val="9"/>
      <color rgb="FF555555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2E5C8A"/>
        <bgColor rgb="FF555555"/>
      </patternFill>
    </fill>
    <fill>
      <patternFill patternType="solid">
        <fgColor rgb="FFFCE4E4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CE4E4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E4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22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3.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7.5" hidden="false" customHeight="true" outlineLevel="0" collapsed="false">
      <c r="A4" s="4"/>
      <c r="B4" s="5"/>
      <c r="C4" s="5"/>
      <c r="D4" s="5"/>
      <c r="E4" s="5"/>
      <c r="F4" s="5"/>
    </row>
    <row r="5" customFormat="false" ht="7.5" hidden="false" customHeight="true" outlineLevel="0" collapsed="false">
      <c r="A5" s="6" t="s">
        <v>2</v>
      </c>
      <c r="B5" s="5"/>
      <c r="C5" s="5"/>
      <c r="D5" s="5"/>
      <c r="E5" s="5"/>
      <c r="F5" s="5"/>
    </row>
    <row r="6" customFormat="false" ht="30" hidden="false" customHeight="true" outlineLevel="0" collapsed="false">
      <c r="A6" s="7" t="s">
        <v>3</v>
      </c>
      <c r="B6" s="8" t="s">
        <v>4</v>
      </c>
      <c r="C6" s="8"/>
      <c r="D6" s="8"/>
      <c r="E6" s="8"/>
      <c r="F6" s="8"/>
    </row>
    <row r="7" customFormat="false" ht="30" hidden="false" customHeight="true" outlineLevel="0" collapsed="false">
      <c r="A7" s="7" t="s">
        <v>5</v>
      </c>
      <c r="B7" s="8" t="s">
        <v>6</v>
      </c>
      <c r="C7" s="8"/>
      <c r="D7" s="8"/>
      <c r="E7" s="8"/>
      <c r="F7" s="8"/>
    </row>
    <row r="8" customFormat="false" ht="30" hidden="false" customHeight="true" outlineLevel="0" collapsed="false">
      <c r="A8" s="7" t="s">
        <v>7</v>
      </c>
      <c r="B8" s="8" t="s">
        <v>8</v>
      </c>
      <c r="C8" s="8"/>
      <c r="D8" s="8"/>
      <c r="E8" s="8"/>
      <c r="F8" s="8"/>
    </row>
    <row r="9" customFormat="false" ht="30" hidden="false" customHeight="true" outlineLevel="0" collapsed="false">
      <c r="A9" s="7" t="s">
        <v>9</v>
      </c>
      <c r="B9" s="8" t="s">
        <v>10</v>
      </c>
      <c r="C9" s="8"/>
      <c r="D9" s="8"/>
      <c r="E9" s="8"/>
      <c r="F9" s="8"/>
    </row>
    <row r="10" customFormat="false" ht="30" hidden="false" customHeight="true" outlineLevel="0" collapsed="false">
      <c r="A10" s="7" t="s">
        <v>11</v>
      </c>
      <c r="B10" s="8" t="s">
        <v>12</v>
      </c>
      <c r="C10" s="8"/>
      <c r="D10" s="8"/>
      <c r="E10" s="8"/>
      <c r="F10" s="8"/>
    </row>
    <row r="11" customFormat="false" ht="7.5" hidden="false" customHeight="true" outlineLevel="0" collapsed="false">
      <c r="A11" s="4"/>
      <c r="B11" s="5" t="s">
        <v>13</v>
      </c>
      <c r="C11" s="5"/>
      <c r="D11" s="5"/>
      <c r="E11" s="5"/>
      <c r="F11" s="5"/>
    </row>
    <row r="12" customFormat="false" ht="15" hidden="false" customHeight="true" outlineLevel="0" collapsed="false">
      <c r="A12" s="6" t="s">
        <v>14</v>
      </c>
    </row>
    <row r="13" customFormat="false" ht="15" hidden="false" customHeight="true" outlineLevel="0" collapsed="false">
      <c r="A13" s="9" t="s">
        <v>15</v>
      </c>
      <c r="B13" s="9" t="s">
        <v>16</v>
      </c>
      <c r="C13" s="9" t="s">
        <v>17</v>
      </c>
    </row>
    <row r="14" customFormat="false" ht="15" hidden="false" customHeight="true" outlineLevel="0" collapsed="false">
      <c r="A14" s="7" t="s">
        <v>18</v>
      </c>
      <c r="B14" s="4" t="n">
        <f aca="false">COUNTIF(1_갭분석!$H$4:$H$36,A14)</f>
        <v>13</v>
      </c>
      <c r="C14" s="10" t="n">
        <f aca="false">IFERROR(B14/SUM($B$14:$B$17),0)</f>
        <v>0.393939393939394</v>
      </c>
    </row>
    <row r="15" customFormat="false" ht="15" hidden="false" customHeight="true" outlineLevel="0" collapsed="false">
      <c r="A15" s="7" t="s">
        <v>19</v>
      </c>
      <c r="B15" s="4" t="n">
        <f aca="false">COUNTIF(1_갭분석!$H$4:$H$36,A15)</f>
        <v>1</v>
      </c>
      <c r="C15" s="10" t="n">
        <f aca="false">IFERROR(B15/SUM($B$14:$B$17),0)</f>
        <v>0.0303030303030303</v>
      </c>
    </row>
    <row r="16" customFormat="false" ht="15" hidden="false" customHeight="true" outlineLevel="0" collapsed="false">
      <c r="A16" s="7" t="s">
        <v>20</v>
      </c>
      <c r="B16" s="4" t="n">
        <f aca="false">COUNTIF(1_갭분석!$H$4:$H$36,A16)</f>
        <v>18</v>
      </c>
      <c r="C16" s="10" t="n">
        <f aca="false">IFERROR(B16/SUM($B$14:$B$17),0)</f>
        <v>0.545454545454545</v>
      </c>
    </row>
    <row r="17" customFormat="false" ht="15" hidden="false" customHeight="true" outlineLevel="0" collapsed="false">
      <c r="A17" s="7" t="s">
        <v>21</v>
      </c>
      <c r="B17" s="4" t="n">
        <f aca="false">COUNTIF(1_갭분석!$H$4:$H$36,A17)</f>
        <v>1</v>
      </c>
      <c r="C17" s="10" t="n">
        <f aca="false">IFERROR(B17/SUM($B$14:$B$17),0)</f>
        <v>0.0303030303030303</v>
      </c>
    </row>
    <row r="18" customFormat="false" ht="15" hidden="false" customHeight="true" outlineLevel="0" collapsed="false">
      <c r="A18" s="11" t="s">
        <v>22</v>
      </c>
      <c r="B18" s="11" t="n">
        <f aca="false">SUM(B14:B17)</f>
        <v>33</v>
      </c>
      <c r="C18" s="12" t="n">
        <f aca="false">IFERROR(B16/B18,0)</f>
        <v>0.545454545454545</v>
      </c>
      <c r="D18" s="13" t="s">
        <v>23</v>
      </c>
    </row>
    <row r="20" customFormat="false" ht="15" hidden="false" customHeight="true" outlineLevel="0" collapsed="false">
      <c r="A20" s="6" t="s">
        <v>24</v>
      </c>
    </row>
    <row r="21" customFormat="false" ht="15" hidden="false" customHeight="true" outlineLevel="0" collapsed="false">
      <c r="A21" s="5" t="s">
        <v>25</v>
      </c>
      <c r="B21" s="5"/>
      <c r="C21" s="5"/>
      <c r="D21" s="5"/>
      <c r="E21" s="5"/>
      <c r="F21" s="5"/>
    </row>
    <row r="22" customFormat="false" ht="15" hidden="false" customHeight="true" outlineLevel="0" collapsed="false">
      <c r="A22" s="5" t="s">
        <v>26</v>
      </c>
      <c r="B22" s="5"/>
      <c r="C22" s="5"/>
      <c r="D22" s="5"/>
      <c r="E22" s="5"/>
      <c r="F22" s="5"/>
    </row>
    <row r="23" customFormat="false" ht="15" hidden="false" customHeight="true" outlineLevel="0" collapsed="false">
      <c r="A23" s="5" t="s">
        <v>27</v>
      </c>
      <c r="B23" s="5"/>
      <c r="C23" s="5"/>
      <c r="D23" s="5"/>
      <c r="E23" s="5"/>
      <c r="F23" s="5"/>
    </row>
    <row r="24" customFormat="false" ht="15" hidden="false" customHeight="true" outlineLevel="0" collapsed="false">
      <c r="A24" s="5" t="s">
        <v>28</v>
      </c>
      <c r="B24" s="5"/>
      <c r="C24" s="5"/>
      <c r="D24" s="5"/>
      <c r="E24" s="5"/>
      <c r="F24" s="5"/>
    </row>
  </sheetData>
  <mergeCells count="14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A21:F21"/>
    <mergeCell ref="A22:F22"/>
    <mergeCell ref="A23:F23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5"/>
    <col collapsed="false" customWidth="true" hidden="false" outlineLevel="0" max="3" min="3" style="1" width="26"/>
    <col collapsed="false" customWidth="true" hidden="false" outlineLevel="0" max="5" min="4" style="1" width="46"/>
    <col collapsed="false" customWidth="true" hidden="false" outlineLevel="0" max="6" min="6" style="1" width="18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9" min="9" style="1" width="20"/>
  </cols>
  <sheetData>
    <row r="1" customFormat="false" ht="25.5" hidden="false" customHeight="true" outlineLevel="0" collapsed="false">
      <c r="A1" s="14" t="s">
        <v>29</v>
      </c>
      <c r="B1" s="14"/>
      <c r="C1" s="14"/>
      <c r="D1" s="14"/>
      <c r="E1" s="14"/>
      <c r="F1" s="14"/>
      <c r="G1" s="14"/>
      <c r="H1" s="14"/>
      <c r="I1" s="14"/>
    </row>
    <row r="2" customFormat="false" ht="13.5" hidden="false" customHeight="true" outlineLevel="0" collapsed="false">
      <c r="A2" s="3" t="s">
        <v>30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15" t="s">
        <v>31</v>
      </c>
      <c r="B3" s="16" t="s">
        <v>32</v>
      </c>
      <c r="C3" s="15" t="s">
        <v>33</v>
      </c>
      <c r="D3" s="15" t="s">
        <v>34</v>
      </c>
      <c r="E3" s="15" t="s">
        <v>35</v>
      </c>
      <c r="F3" s="15" t="s">
        <v>36</v>
      </c>
      <c r="G3" s="15" t="s">
        <v>37</v>
      </c>
      <c r="H3" s="15" t="s">
        <v>15</v>
      </c>
      <c r="I3" s="15" t="s">
        <v>38</v>
      </c>
    </row>
    <row r="4" customFormat="false" ht="45.75" hidden="false" customHeight="true" outlineLevel="0" collapsed="false">
      <c r="A4" s="17" t="s">
        <v>39</v>
      </c>
      <c r="B4" s="18" t="n">
        <v>1</v>
      </c>
      <c r="C4" s="19" t="s">
        <v>40</v>
      </c>
      <c r="D4" s="20" t="s">
        <v>41</v>
      </c>
      <c r="E4" s="20" t="s">
        <v>42</v>
      </c>
      <c r="F4" s="20" t="s">
        <v>43</v>
      </c>
      <c r="G4" s="18" t="s">
        <v>44</v>
      </c>
      <c r="H4" s="21" t="s">
        <v>20</v>
      </c>
      <c r="I4" s="22" t="s">
        <v>45</v>
      </c>
    </row>
    <row r="5" customFormat="false" ht="45.75" hidden="false" customHeight="true" outlineLevel="0" collapsed="false">
      <c r="A5" s="17" t="s">
        <v>39</v>
      </c>
      <c r="B5" s="18" t="n">
        <v>2</v>
      </c>
      <c r="C5" s="20" t="s">
        <v>46</v>
      </c>
      <c r="D5" s="17" t="s">
        <v>47</v>
      </c>
      <c r="E5" s="17" t="s">
        <v>48</v>
      </c>
      <c r="F5" s="20" t="s">
        <v>49</v>
      </c>
      <c r="G5" s="18" t="s">
        <v>50</v>
      </c>
      <c r="H5" s="21" t="s">
        <v>20</v>
      </c>
      <c r="I5" s="22" t="s">
        <v>51</v>
      </c>
    </row>
    <row r="6" customFormat="false" ht="45.75" hidden="false" customHeight="true" outlineLevel="0" collapsed="false">
      <c r="A6" s="17" t="s">
        <v>39</v>
      </c>
      <c r="B6" s="18" t="n">
        <v>3</v>
      </c>
      <c r="C6" s="17" t="s">
        <v>52</v>
      </c>
      <c r="D6" s="17" t="s">
        <v>53</v>
      </c>
      <c r="E6" s="20" t="s">
        <v>54</v>
      </c>
      <c r="F6" s="20" t="s">
        <v>55</v>
      </c>
      <c r="G6" s="18" t="s">
        <v>50</v>
      </c>
      <c r="H6" s="21" t="s">
        <v>20</v>
      </c>
      <c r="I6" s="22" t="s">
        <v>56</v>
      </c>
    </row>
    <row r="7" customFormat="false" ht="45.75" hidden="false" customHeight="true" outlineLevel="0" collapsed="false">
      <c r="A7" s="17" t="s">
        <v>39</v>
      </c>
      <c r="B7" s="18" t="n">
        <v>4</v>
      </c>
      <c r="C7" s="17" t="s">
        <v>57</v>
      </c>
      <c r="D7" s="20" t="s">
        <v>58</v>
      </c>
      <c r="E7" s="20" t="s">
        <v>59</v>
      </c>
      <c r="F7" s="20" t="s">
        <v>60</v>
      </c>
      <c r="G7" s="18" t="s">
        <v>50</v>
      </c>
      <c r="H7" s="21" t="s">
        <v>20</v>
      </c>
      <c r="I7" s="22" t="s">
        <v>61</v>
      </c>
    </row>
    <row r="8" customFormat="false" ht="45.75" hidden="false" customHeight="true" outlineLevel="0" collapsed="false">
      <c r="A8" s="17" t="s">
        <v>39</v>
      </c>
      <c r="B8" s="18" t="n">
        <v>5</v>
      </c>
      <c r="C8" s="20" t="s">
        <v>62</v>
      </c>
      <c r="D8" s="20" t="s">
        <v>63</v>
      </c>
      <c r="E8" s="20" t="s">
        <v>64</v>
      </c>
      <c r="F8" s="20" t="s">
        <v>65</v>
      </c>
      <c r="G8" s="18" t="s">
        <v>50</v>
      </c>
      <c r="H8" s="21" t="s">
        <v>20</v>
      </c>
      <c r="I8" s="22" t="s">
        <v>66</v>
      </c>
    </row>
    <row r="9" customFormat="false" ht="45.75" hidden="false" customHeight="true" outlineLevel="0" collapsed="false">
      <c r="A9" s="17" t="s">
        <v>39</v>
      </c>
      <c r="B9" s="18" t="n">
        <v>6</v>
      </c>
      <c r="C9" s="20" t="s">
        <v>67</v>
      </c>
      <c r="D9" s="20" t="s">
        <v>68</v>
      </c>
      <c r="E9" s="17" t="s">
        <v>69</v>
      </c>
      <c r="F9" s="17" t="s">
        <v>70</v>
      </c>
      <c r="G9" s="18" t="s">
        <v>71</v>
      </c>
      <c r="H9" s="21" t="s">
        <v>20</v>
      </c>
      <c r="I9" s="22" t="s">
        <v>72</v>
      </c>
    </row>
    <row r="10" customFormat="false" ht="45.75" hidden="false" customHeight="true" outlineLevel="0" collapsed="false">
      <c r="A10" s="17" t="s">
        <v>39</v>
      </c>
      <c r="B10" s="18" t="n">
        <v>7</v>
      </c>
      <c r="C10" s="20" t="s">
        <v>73</v>
      </c>
      <c r="D10" s="17" t="s">
        <v>74</v>
      </c>
      <c r="E10" s="17" t="s">
        <v>75</v>
      </c>
      <c r="F10" s="17" t="s">
        <v>76</v>
      </c>
      <c r="G10" s="18" t="s">
        <v>71</v>
      </c>
      <c r="H10" s="21" t="s">
        <v>20</v>
      </c>
      <c r="I10" s="22" t="s">
        <v>77</v>
      </c>
    </row>
    <row r="11" customFormat="false" ht="45.75" hidden="false" customHeight="true" outlineLevel="0" collapsed="false">
      <c r="A11" s="17" t="s">
        <v>39</v>
      </c>
      <c r="B11" s="18" t="n">
        <v>8</v>
      </c>
      <c r="C11" s="17" t="s">
        <v>78</v>
      </c>
      <c r="D11" s="20" t="s">
        <v>79</v>
      </c>
      <c r="E11" s="20" t="s">
        <v>80</v>
      </c>
      <c r="F11" s="17" t="s">
        <v>81</v>
      </c>
      <c r="G11" s="18" t="s">
        <v>71</v>
      </c>
      <c r="H11" s="21" t="s">
        <v>20</v>
      </c>
      <c r="I11" s="22" t="s">
        <v>82</v>
      </c>
    </row>
    <row r="12" customFormat="false" ht="45.75" hidden="false" customHeight="true" outlineLevel="0" collapsed="false">
      <c r="A12" s="17" t="s">
        <v>39</v>
      </c>
      <c r="B12" s="18" t="n">
        <v>9</v>
      </c>
      <c r="C12" s="20" t="s">
        <v>83</v>
      </c>
      <c r="D12" s="20" t="s">
        <v>84</v>
      </c>
      <c r="E12" s="20" t="s">
        <v>85</v>
      </c>
      <c r="F12" s="17" t="s">
        <v>86</v>
      </c>
      <c r="G12" s="18" t="s">
        <v>87</v>
      </c>
      <c r="H12" s="21" t="s">
        <v>20</v>
      </c>
      <c r="I12" s="22" t="s">
        <v>77</v>
      </c>
    </row>
    <row r="13" customFormat="false" ht="45.75" hidden="false" customHeight="true" outlineLevel="0" collapsed="false">
      <c r="A13" s="17" t="s">
        <v>88</v>
      </c>
      <c r="B13" s="18" t="n">
        <v>10</v>
      </c>
      <c r="C13" s="23" t="s">
        <v>89</v>
      </c>
      <c r="D13" s="17" t="s">
        <v>90</v>
      </c>
      <c r="E13" s="20" t="s">
        <v>91</v>
      </c>
      <c r="F13" s="20" t="s">
        <v>92</v>
      </c>
      <c r="G13" s="18" t="s">
        <v>44</v>
      </c>
      <c r="H13" s="21" t="s">
        <v>20</v>
      </c>
      <c r="I13" s="22" t="s">
        <v>93</v>
      </c>
    </row>
    <row r="14" customFormat="false" ht="45.75" hidden="false" customHeight="true" outlineLevel="0" collapsed="false">
      <c r="A14" s="17" t="s">
        <v>88</v>
      </c>
      <c r="B14" s="18" t="n">
        <v>11</v>
      </c>
      <c r="C14" s="20" t="s">
        <v>94</v>
      </c>
      <c r="D14" s="20" t="s">
        <v>95</v>
      </c>
      <c r="E14" s="17" t="s">
        <v>96</v>
      </c>
      <c r="F14" s="20" t="s">
        <v>97</v>
      </c>
      <c r="G14" s="18" t="s">
        <v>71</v>
      </c>
      <c r="H14" s="21" t="s">
        <v>20</v>
      </c>
      <c r="I14" s="22" t="s">
        <v>98</v>
      </c>
    </row>
    <row r="15" customFormat="false" ht="45.75" hidden="false" customHeight="true" outlineLevel="0" collapsed="false">
      <c r="A15" s="17" t="s">
        <v>88</v>
      </c>
      <c r="B15" s="18" t="n">
        <v>12</v>
      </c>
      <c r="C15" s="20" t="s">
        <v>99</v>
      </c>
      <c r="D15" s="20" t="s">
        <v>100</v>
      </c>
      <c r="E15" s="20" t="s">
        <v>101</v>
      </c>
      <c r="F15" s="20" t="s">
        <v>102</v>
      </c>
      <c r="G15" s="18" t="s">
        <v>50</v>
      </c>
      <c r="H15" s="24" t="s">
        <v>21</v>
      </c>
      <c r="I15" s="25" t="s">
        <v>103</v>
      </c>
    </row>
    <row r="16" customFormat="false" ht="45.75" hidden="false" customHeight="true" outlineLevel="0" collapsed="false">
      <c r="A16" s="17" t="s">
        <v>88</v>
      </c>
      <c r="B16" s="18" t="n">
        <v>13</v>
      </c>
      <c r="C16" s="20" t="s">
        <v>104</v>
      </c>
      <c r="D16" s="20" t="s">
        <v>105</v>
      </c>
      <c r="E16" s="17" t="s">
        <v>106</v>
      </c>
      <c r="F16" s="20" t="s">
        <v>102</v>
      </c>
      <c r="G16" s="18" t="s">
        <v>71</v>
      </c>
      <c r="H16" s="24" t="s">
        <v>18</v>
      </c>
      <c r="I16" s="25"/>
    </row>
    <row r="17" customFormat="false" ht="45.75" hidden="false" customHeight="true" outlineLevel="0" collapsed="false">
      <c r="A17" s="17" t="s">
        <v>107</v>
      </c>
      <c r="B17" s="18" t="n">
        <v>14</v>
      </c>
      <c r="C17" s="19" t="s">
        <v>108</v>
      </c>
      <c r="D17" s="20" t="s">
        <v>109</v>
      </c>
      <c r="E17" s="20" t="s">
        <v>110</v>
      </c>
      <c r="F17" s="20" t="s">
        <v>111</v>
      </c>
      <c r="G17" s="18" t="s">
        <v>44</v>
      </c>
      <c r="H17" s="24" t="s">
        <v>18</v>
      </c>
      <c r="I17" s="25"/>
    </row>
    <row r="18" customFormat="false" ht="45.75" hidden="false" customHeight="true" outlineLevel="0" collapsed="false">
      <c r="A18" s="17" t="s">
        <v>107</v>
      </c>
      <c r="B18" s="18" t="n">
        <v>15</v>
      </c>
      <c r="C18" s="20" t="s">
        <v>112</v>
      </c>
      <c r="D18" s="20" t="s">
        <v>113</v>
      </c>
      <c r="E18" s="20" t="s">
        <v>114</v>
      </c>
      <c r="F18" s="20" t="s">
        <v>115</v>
      </c>
      <c r="G18" s="18" t="s">
        <v>50</v>
      </c>
      <c r="H18" s="24" t="s">
        <v>18</v>
      </c>
      <c r="I18" s="25"/>
    </row>
    <row r="19" customFormat="false" ht="45.75" hidden="false" customHeight="true" outlineLevel="0" collapsed="false">
      <c r="A19" s="17" t="s">
        <v>107</v>
      </c>
      <c r="B19" s="18" t="n">
        <v>16</v>
      </c>
      <c r="C19" s="20" t="s">
        <v>116</v>
      </c>
      <c r="D19" s="17" t="s">
        <v>117</v>
      </c>
      <c r="E19" s="20" t="s">
        <v>118</v>
      </c>
      <c r="F19" s="17" t="s">
        <v>119</v>
      </c>
      <c r="G19" s="18" t="s">
        <v>50</v>
      </c>
      <c r="H19" s="24" t="s">
        <v>18</v>
      </c>
      <c r="I19" s="25"/>
    </row>
    <row r="20" customFormat="false" ht="45.75" hidden="false" customHeight="true" outlineLevel="0" collapsed="false">
      <c r="A20" s="17" t="s">
        <v>107</v>
      </c>
      <c r="B20" s="18" t="n">
        <v>17</v>
      </c>
      <c r="C20" s="20" t="s">
        <v>120</v>
      </c>
      <c r="D20" s="17" t="s">
        <v>121</v>
      </c>
      <c r="E20" s="17" t="s">
        <v>122</v>
      </c>
      <c r="F20" s="17" t="s">
        <v>123</v>
      </c>
      <c r="G20" s="18" t="s">
        <v>71</v>
      </c>
      <c r="H20" s="24" t="s">
        <v>18</v>
      </c>
      <c r="I20" s="25"/>
    </row>
    <row r="21" customFormat="false" ht="45.75" hidden="false" customHeight="true" outlineLevel="0" collapsed="false">
      <c r="A21" s="17" t="s">
        <v>107</v>
      </c>
      <c r="B21" s="18" t="n">
        <v>18</v>
      </c>
      <c r="C21" s="20" t="s">
        <v>124</v>
      </c>
      <c r="D21" s="20" t="s">
        <v>125</v>
      </c>
      <c r="E21" s="17" t="s">
        <v>126</v>
      </c>
      <c r="F21" s="20" t="s">
        <v>127</v>
      </c>
      <c r="G21" s="18" t="s">
        <v>71</v>
      </c>
      <c r="H21" s="24" t="s">
        <v>18</v>
      </c>
      <c r="I21" s="25"/>
    </row>
    <row r="22" customFormat="false" ht="45.75" hidden="false" customHeight="true" outlineLevel="0" collapsed="false">
      <c r="A22" s="17" t="s">
        <v>107</v>
      </c>
      <c r="B22" s="18" t="n">
        <v>19</v>
      </c>
      <c r="C22" s="20" t="s">
        <v>128</v>
      </c>
      <c r="D22" s="20" t="s">
        <v>129</v>
      </c>
      <c r="E22" s="20" t="s">
        <v>130</v>
      </c>
      <c r="F22" s="20" t="s">
        <v>131</v>
      </c>
      <c r="G22" s="18" t="s">
        <v>87</v>
      </c>
      <c r="H22" s="24" t="s">
        <v>18</v>
      </c>
      <c r="I22" s="25"/>
    </row>
    <row r="23" customFormat="false" ht="45.75" hidden="false" customHeight="true" outlineLevel="0" collapsed="false">
      <c r="A23" s="17" t="s">
        <v>107</v>
      </c>
      <c r="B23" s="18" t="n">
        <v>20</v>
      </c>
      <c r="C23" s="17" t="s">
        <v>132</v>
      </c>
      <c r="D23" s="17" t="s">
        <v>133</v>
      </c>
      <c r="E23" s="20" t="s">
        <v>134</v>
      </c>
      <c r="F23" s="20" t="s">
        <v>135</v>
      </c>
      <c r="G23" s="26" t="s">
        <v>136</v>
      </c>
      <c r="H23" s="27" t="s">
        <v>20</v>
      </c>
      <c r="I23" s="25" t="s">
        <v>137</v>
      </c>
    </row>
    <row r="24" customFormat="false" ht="45.75" hidden="false" customHeight="true" outlineLevel="0" collapsed="false">
      <c r="A24" s="17" t="s">
        <v>138</v>
      </c>
      <c r="B24" s="18" t="n">
        <v>21</v>
      </c>
      <c r="C24" s="20" t="s">
        <v>139</v>
      </c>
      <c r="D24" s="17" t="s">
        <v>140</v>
      </c>
      <c r="E24" s="17" t="s">
        <v>141</v>
      </c>
      <c r="F24" s="20" t="s">
        <v>142</v>
      </c>
      <c r="G24" s="18" t="s">
        <v>50</v>
      </c>
      <c r="H24" s="27" t="s">
        <v>20</v>
      </c>
      <c r="I24" s="25" t="s">
        <v>143</v>
      </c>
    </row>
    <row r="25" customFormat="false" ht="45.75" hidden="false" customHeight="true" outlineLevel="0" collapsed="false">
      <c r="A25" s="17" t="s">
        <v>138</v>
      </c>
      <c r="B25" s="18" t="n">
        <v>22</v>
      </c>
      <c r="C25" s="17" t="s">
        <v>144</v>
      </c>
      <c r="D25" s="20" t="s">
        <v>145</v>
      </c>
      <c r="E25" s="17" t="s">
        <v>146</v>
      </c>
      <c r="F25" s="20" t="s">
        <v>147</v>
      </c>
      <c r="G25" s="18" t="s">
        <v>71</v>
      </c>
      <c r="H25" s="27" t="s">
        <v>20</v>
      </c>
      <c r="I25" s="25" t="s">
        <v>148</v>
      </c>
    </row>
    <row r="26" customFormat="false" ht="45.75" hidden="false" customHeight="true" outlineLevel="0" collapsed="false">
      <c r="A26" s="17" t="s">
        <v>138</v>
      </c>
      <c r="B26" s="18" t="n">
        <v>23</v>
      </c>
      <c r="C26" s="20" t="s">
        <v>149</v>
      </c>
      <c r="D26" s="20" t="s">
        <v>150</v>
      </c>
      <c r="E26" s="20" t="s">
        <v>151</v>
      </c>
      <c r="F26" s="20" t="s">
        <v>152</v>
      </c>
      <c r="G26" s="18" t="s">
        <v>50</v>
      </c>
      <c r="H26" s="27" t="s">
        <v>20</v>
      </c>
      <c r="I26" s="25" t="s">
        <v>153</v>
      </c>
    </row>
    <row r="27" customFormat="false" ht="45.75" hidden="false" customHeight="true" outlineLevel="0" collapsed="false">
      <c r="A27" s="17" t="s">
        <v>138</v>
      </c>
      <c r="B27" s="18" t="n">
        <v>24</v>
      </c>
      <c r="C27" s="20" t="s">
        <v>154</v>
      </c>
      <c r="D27" s="20" t="s">
        <v>155</v>
      </c>
      <c r="E27" s="20" t="s">
        <v>156</v>
      </c>
      <c r="F27" s="17" t="s">
        <v>157</v>
      </c>
      <c r="G27" s="18" t="s">
        <v>50</v>
      </c>
      <c r="H27" s="24" t="s">
        <v>18</v>
      </c>
      <c r="I27" s="25"/>
    </row>
    <row r="28" customFormat="false" ht="45.75" hidden="false" customHeight="true" outlineLevel="0" collapsed="false">
      <c r="A28" s="17" t="s">
        <v>138</v>
      </c>
      <c r="B28" s="18" t="n">
        <v>25</v>
      </c>
      <c r="C28" s="20" t="s">
        <v>158</v>
      </c>
      <c r="D28" s="17" t="s">
        <v>159</v>
      </c>
      <c r="E28" s="20" t="s">
        <v>160</v>
      </c>
      <c r="F28" s="17" t="s">
        <v>157</v>
      </c>
      <c r="G28" s="18" t="s">
        <v>50</v>
      </c>
      <c r="H28" s="24" t="s">
        <v>18</v>
      </c>
      <c r="I28" s="25"/>
    </row>
    <row r="29" customFormat="false" ht="45.75" hidden="false" customHeight="true" outlineLevel="0" collapsed="false">
      <c r="A29" s="17" t="s">
        <v>138</v>
      </c>
      <c r="B29" s="18" t="n">
        <v>26</v>
      </c>
      <c r="C29" s="20" t="s">
        <v>161</v>
      </c>
      <c r="D29" s="20" t="s">
        <v>162</v>
      </c>
      <c r="E29" s="20" t="s">
        <v>163</v>
      </c>
      <c r="F29" s="17" t="s">
        <v>164</v>
      </c>
      <c r="G29" s="18" t="s">
        <v>71</v>
      </c>
      <c r="H29" s="27" t="s">
        <v>20</v>
      </c>
      <c r="I29" s="25" t="s">
        <v>165</v>
      </c>
    </row>
    <row r="30" customFormat="false" ht="45.75" hidden="false" customHeight="true" outlineLevel="0" collapsed="false">
      <c r="A30" s="17" t="s">
        <v>138</v>
      </c>
      <c r="B30" s="18" t="n">
        <v>27</v>
      </c>
      <c r="C30" s="20" t="s">
        <v>166</v>
      </c>
      <c r="D30" s="17" t="s">
        <v>167</v>
      </c>
      <c r="E30" s="17" t="s">
        <v>168</v>
      </c>
      <c r="F30" s="20" t="s">
        <v>169</v>
      </c>
      <c r="G30" s="18" t="s">
        <v>71</v>
      </c>
      <c r="H30" s="24" t="s">
        <v>18</v>
      </c>
      <c r="I30" s="25"/>
    </row>
    <row r="31" customFormat="false" ht="45.75" hidden="false" customHeight="true" outlineLevel="0" collapsed="false">
      <c r="A31" s="17" t="s">
        <v>138</v>
      </c>
      <c r="B31" s="18" t="n">
        <v>28</v>
      </c>
      <c r="C31" s="20" t="s">
        <v>170</v>
      </c>
      <c r="D31" s="20" t="s">
        <v>171</v>
      </c>
      <c r="E31" s="17" t="s">
        <v>172</v>
      </c>
      <c r="F31" s="20" t="s">
        <v>169</v>
      </c>
      <c r="G31" s="18" t="s">
        <v>50</v>
      </c>
      <c r="H31" s="24" t="s">
        <v>18</v>
      </c>
      <c r="I31" s="25"/>
    </row>
    <row r="32" customFormat="false" ht="45.75" hidden="false" customHeight="true" outlineLevel="0" collapsed="false">
      <c r="A32" s="17" t="s">
        <v>138</v>
      </c>
      <c r="B32" s="18" t="n">
        <v>29</v>
      </c>
      <c r="C32" s="20" t="s">
        <v>173</v>
      </c>
      <c r="D32" s="20" t="s">
        <v>174</v>
      </c>
      <c r="E32" s="20" t="s">
        <v>175</v>
      </c>
      <c r="F32" s="20" t="s">
        <v>169</v>
      </c>
      <c r="G32" s="18" t="s">
        <v>50</v>
      </c>
      <c r="H32" s="24" t="s">
        <v>18</v>
      </c>
      <c r="I32" s="25"/>
    </row>
    <row r="33" customFormat="false" ht="45.75" hidden="false" customHeight="true" outlineLevel="0" collapsed="false">
      <c r="A33" s="17" t="s">
        <v>138</v>
      </c>
      <c r="B33" s="18" t="n">
        <v>30</v>
      </c>
      <c r="C33" s="20" t="s">
        <v>176</v>
      </c>
      <c r="D33" s="20" t="s">
        <v>177</v>
      </c>
      <c r="E33" s="20" t="s">
        <v>178</v>
      </c>
      <c r="F33" s="20" t="s">
        <v>169</v>
      </c>
      <c r="G33" s="18" t="s">
        <v>71</v>
      </c>
      <c r="H33" s="24" t="s">
        <v>18</v>
      </c>
      <c r="I33" s="25"/>
    </row>
    <row r="34" customFormat="false" ht="45.75" hidden="false" customHeight="true" outlineLevel="0" collapsed="false">
      <c r="A34" s="28" t="s">
        <v>107</v>
      </c>
      <c r="B34" s="29" t="n">
        <v>31</v>
      </c>
      <c r="C34" s="30" t="s">
        <v>179</v>
      </c>
      <c r="D34" s="31" t="s">
        <v>180</v>
      </c>
      <c r="E34" s="31" t="s">
        <v>181</v>
      </c>
      <c r="F34" s="31" t="s">
        <v>182</v>
      </c>
      <c r="G34" s="29" t="s">
        <v>44</v>
      </c>
      <c r="H34" s="21" t="s">
        <v>20</v>
      </c>
      <c r="I34" s="32" t="s">
        <v>183</v>
      </c>
    </row>
    <row r="35" customFormat="false" ht="45.75" hidden="false" customHeight="true" outlineLevel="0" collapsed="false">
      <c r="A35" s="17" t="s">
        <v>107</v>
      </c>
      <c r="B35" s="18" t="n">
        <v>32</v>
      </c>
      <c r="C35" s="33" t="s">
        <v>184</v>
      </c>
      <c r="D35" s="17" t="s">
        <v>185</v>
      </c>
      <c r="E35" s="20" t="s">
        <v>186</v>
      </c>
      <c r="F35" s="20" t="s">
        <v>187</v>
      </c>
      <c r="G35" s="18" t="s">
        <v>44</v>
      </c>
      <c r="H35" s="24" t="s">
        <v>19</v>
      </c>
      <c r="I35" s="32" t="s">
        <v>188</v>
      </c>
    </row>
    <row r="36" customFormat="false" ht="45.75" hidden="false" customHeight="true" outlineLevel="0" collapsed="false">
      <c r="A36" s="17" t="s">
        <v>39</v>
      </c>
      <c r="B36" s="18" t="n">
        <v>33</v>
      </c>
      <c r="C36" s="20" t="s">
        <v>189</v>
      </c>
      <c r="D36" s="20" t="s">
        <v>190</v>
      </c>
      <c r="E36" s="20" t="s">
        <v>191</v>
      </c>
      <c r="F36" s="20" t="s">
        <v>192</v>
      </c>
      <c r="G36" s="18" t="s">
        <v>71</v>
      </c>
      <c r="H36" s="27" t="s">
        <v>20</v>
      </c>
      <c r="I36" s="32" t="s">
        <v>193</v>
      </c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H4:H34" type="list">
      <formula1>"미착수,진행중,완료,보류/불필요"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3" min="3" style="1" width="20"/>
    <col collapsed="false" customWidth="true" hidden="false" outlineLevel="0" max="4" min="4" style="1" width="30"/>
    <col collapsed="false" customWidth="true" hidden="false" outlineLevel="0" max="7" min="5" style="1" width="8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0"/>
    <col collapsed="false" customWidth="true" hidden="false" outlineLevel="0" max="11" min="11" style="1" width="12"/>
  </cols>
  <sheetData>
    <row r="1" customFormat="false" ht="25.5" hidden="false" customHeight="true" outlineLevel="0" collapsed="false">
      <c r="A1" s="14" t="s">
        <v>194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customFormat="false" ht="13.5" hidden="false" customHeight="true" outlineLevel="0" collapsed="false">
      <c r="A2" s="3" t="s">
        <v>195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15" t="s">
        <v>196</v>
      </c>
      <c r="B3" s="15" t="s">
        <v>197</v>
      </c>
      <c r="C3" s="15" t="s">
        <v>198</v>
      </c>
      <c r="D3" s="15" t="s">
        <v>199</v>
      </c>
      <c r="E3" s="15" t="s">
        <v>200</v>
      </c>
      <c r="F3" s="15" t="s">
        <v>201</v>
      </c>
      <c r="G3" s="15" t="s">
        <v>202</v>
      </c>
      <c r="H3" s="15" t="s">
        <v>203</v>
      </c>
      <c r="I3" s="16" t="s">
        <v>204</v>
      </c>
      <c r="J3" s="15" t="s">
        <v>205</v>
      </c>
      <c r="K3" s="15" t="s">
        <v>15</v>
      </c>
    </row>
    <row r="4" customFormat="false" ht="39.75" hidden="false" customHeight="true" outlineLevel="0" collapsed="false">
      <c r="A4" s="18" t="s">
        <v>206</v>
      </c>
      <c r="B4" s="20" t="s">
        <v>207</v>
      </c>
      <c r="C4" s="20" t="s">
        <v>208</v>
      </c>
      <c r="D4" s="17" t="s">
        <v>209</v>
      </c>
      <c r="E4" s="24" t="n">
        <v>5</v>
      </c>
      <c r="F4" s="24" t="n">
        <v>2</v>
      </c>
      <c r="G4" s="24" t="n">
        <v>5</v>
      </c>
      <c r="H4" s="18" t="n">
        <f aca="false">E4*F4*G4</f>
        <v>50</v>
      </c>
      <c r="I4" s="24" t="n">
        <v>15</v>
      </c>
      <c r="J4" s="18" t="n">
        <f aca="false">ROUND(H4*I4/60,1)</f>
        <v>12.5</v>
      </c>
      <c r="K4" s="24" t="s">
        <v>19</v>
      </c>
    </row>
    <row r="5" customFormat="false" ht="39.75" hidden="false" customHeight="true" outlineLevel="0" collapsed="false">
      <c r="A5" s="18" t="s">
        <v>210</v>
      </c>
      <c r="B5" s="17" t="s">
        <v>211</v>
      </c>
      <c r="C5" s="20" t="s">
        <v>212</v>
      </c>
      <c r="D5" s="20" t="s">
        <v>213</v>
      </c>
      <c r="E5" s="24" t="n">
        <v>1</v>
      </c>
      <c r="F5" s="24" t="n">
        <v>3</v>
      </c>
      <c r="G5" s="24" t="n">
        <v>2</v>
      </c>
      <c r="H5" s="18" t="n">
        <f aca="false">E5*F5*G5</f>
        <v>6</v>
      </c>
      <c r="I5" s="24" t="n">
        <v>15</v>
      </c>
      <c r="J5" s="18" t="n">
        <f aca="false">ROUND(H5*I5/60,1)</f>
        <v>1.5</v>
      </c>
      <c r="K5" s="24" t="s">
        <v>19</v>
      </c>
    </row>
    <row r="6" customFormat="false" ht="39.75" hidden="false" customHeight="true" outlineLevel="0" collapsed="false">
      <c r="A6" s="18" t="s">
        <v>214</v>
      </c>
      <c r="B6" s="17" t="s">
        <v>215</v>
      </c>
      <c r="C6" s="20" t="s">
        <v>216</v>
      </c>
      <c r="D6" s="17" t="s">
        <v>217</v>
      </c>
      <c r="E6" s="24" t="n">
        <v>19</v>
      </c>
      <c r="F6" s="24" t="n">
        <v>1</v>
      </c>
      <c r="G6" s="24" t="n">
        <v>3</v>
      </c>
      <c r="H6" s="18" t="n">
        <f aca="false">E6*F6*G6</f>
        <v>57</v>
      </c>
      <c r="I6" s="24" t="n">
        <v>8</v>
      </c>
      <c r="J6" s="18" t="n">
        <f aca="false">ROUND(H6*I6/60,1)</f>
        <v>7.6</v>
      </c>
      <c r="K6" s="24" t="s">
        <v>18</v>
      </c>
    </row>
    <row r="7" customFormat="false" ht="39.75" hidden="false" customHeight="true" outlineLevel="0" collapsed="false">
      <c r="A7" s="18" t="s">
        <v>218</v>
      </c>
      <c r="B7" s="17" t="s">
        <v>219</v>
      </c>
      <c r="C7" s="20" t="s">
        <v>220</v>
      </c>
      <c r="D7" s="17" t="s">
        <v>221</v>
      </c>
      <c r="E7" s="24" t="n">
        <v>3</v>
      </c>
      <c r="F7" s="24" t="n">
        <v>2</v>
      </c>
      <c r="G7" s="24" t="n">
        <v>5</v>
      </c>
      <c r="H7" s="18" t="n">
        <f aca="false">E7*F7*G7</f>
        <v>30</v>
      </c>
      <c r="I7" s="24" t="n">
        <v>15</v>
      </c>
      <c r="J7" s="18" t="n">
        <f aca="false">ROUND(H7*I7/60,1)</f>
        <v>7.5</v>
      </c>
      <c r="K7" s="24" t="s">
        <v>18</v>
      </c>
    </row>
    <row r="8" customFormat="false" ht="39.75" hidden="false" customHeight="true" outlineLevel="0" collapsed="false">
      <c r="A8" s="18" t="s">
        <v>222</v>
      </c>
      <c r="B8" s="20" t="s">
        <v>223</v>
      </c>
      <c r="C8" s="20" t="s">
        <v>224</v>
      </c>
      <c r="D8" s="17" t="s">
        <v>225</v>
      </c>
      <c r="E8" s="24" t="n">
        <v>3</v>
      </c>
      <c r="F8" s="24" t="n">
        <v>2</v>
      </c>
      <c r="G8" s="24" t="n">
        <v>5</v>
      </c>
      <c r="H8" s="18" t="n">
        <f aca="false">E8*F8*G8</f>
        <v>30</v>
      </c>
      <c r="I8" s="24" t="n">
        <v>15</v>
      </c>
      <c r="J8" s="18" t="n">
        <f aca="false">ROUND(H8*I8/60,1)</f>
        <v>7.5</v>
      </c>
      <c r="K8" s="24" t="s">
        <v>18</v>
      </c>
    </row>
    <row r="9" customFormat="false" ht="39.75" hidden="false" customHeight="true" outlineLevel="0" collapsed="false">
      <c r="A9" s="18" t="s">
        <v>226</v>
      </c>
      <c r="B9" s="20" t="s">
        <v>227</v>
      </c>
      <c r="C9" s="20" t="s">
        <v>228</v>
      </c>
      <c r="D9" s="17" t="s">
        <v>229</v>
      </c>
      <c r="E9" s="24" t="n">
        <v>3</v>
      </c>
      <c r="F9" s="24" t="n">
        <v>1</v>
      </c>
      <c r="G9" s="24" t="n">
        <v>5</v>
      </c>
      <c r="H9" s="18" t="n">
        <f aca="false">E9*F9*G9</f>
        <v>15</v>
      </c>
      <c r="I9" s="24" t="n">
        <v>15</v>
      </c>
      <c r="J9" s="18" t="n">
        <f aca="false">ROUND(H9*I9/60,1)</f>
        <v>3.8</v>
      </c>
      <c r="K9" s="24" t="s">
        <v>18</v>
      </c>
    </row>
    <row r="10" customFormat="false" ht="39.75" hidden="false" customHeight="true" outlineLevel="0" collapsed="false">
      <c r="A10" s="18" t="s">
        <v>230</v>
      </c>
      <c r="B10" s="17" t="s">
        <v>231</v>
      </c>
      <c r="C10" s="20" t="s">
        <v>232</v>
      </c>
      <c r="D10" s="20" t="s">
        <v>233</v>
      </c>
      <c r="E10" s="24" t="n">
        <v>3</v>
      </c>
      <c r="F10" s="24" t="n">
        <v>1</v>
      </c>
      <c r="G10" s="24" t="n">
        <v>3</v>
      </c>
      <c r="H10" s="18" t="n">
        <f aca="false">E10*F10*G10</f>
        <v>9</v>
      </c>
      <c r="I10" s="24" t="n">
        <v>60</v>
      </c>
      <c r="J10" s="18" t="n">
        <f aca="false">ROUND(H10*I10/60,1)</f>
        <v>9</v>
      </c>
      <c r="K10" s="24" t="s">
        <v>18</v>
      </c>
    </row>
    <row r="11" customFormat="false" ht="15" hidden="false" customHeight="true" outlineLevel="0" collapsed="false">
      <c r="A11" s="34"/>
      <c r="B11" s="35" t="s">
        <v>234</v>
      </c>
      <c r="C11" s="34"/>
      <c r="D11" s="34"/>
      <c r="E11" s="34"/>
      <c r="F11" s="34"/>
      <c r="G11" s="34"/>
      <c r="H11" s="35" t="n">
        <f aca="false">SUM(H4:H10)</f>
        <v>197</v>
      </c>
      <c r="I11" s="34"/>
      <c r="J11" s="35" t="n">
        <f aca="false">ROUND(SUM(J4:J10),1)</f>
        <v>49.4</v>
      </c>
      <c r="K11" s="34"/>
    </row>
    <row r="12" customFormat="false" ht="15" hidden="false" customHeight="true" outlineLevel="0" collapsed="false">
      <c r="A12" s="34"/>
      <c r="B12" s="35" t="s">
        <v>235</v>
      </c>
      <c r="C12" s="34"/>
      <c r="D12" s="34"/>
      <c r="E12" s="34"/>
      <c r="F12" s="34"/>
      <c r="G12" s="34"/>
      <c r="H12" s="35" t="n">
        <f aca="false">H4+H5</f>
        <v>56</v>
      </c>
      <c r="I12" s="34"/>
      <c r="J12" s="35" t="n">
        <f aca="false">ROUND(J4+J5,1)</f>
        <v>14</v>
      </c>
      <c r="K12" s="34"/>
    </row>
    <row r="14" customFormat="false" ht="15" hidden="false" customHeight="true" outlineLevel="0" collapsed="false">
      <c r="A14" s="13" t="s">
        <v>236</v>
      </c>
    </row>
    <row r="15" customFormat="false" ht="15" hidden="false" customHeight="true" outlineLevel="0" collapsed="false">
      <c r="A15" s="36" t="s">
        <v>237</v>
      </c>
    </row>
  </sheetData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K4:K10" type="list">
      <formula1>"미착수,진행중,완료,보류/불필요"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0"/>
    <col collapsed="false" customWidth="true" hidden="false" outlineLevel="0" max="3" min="3" style="1" width="52"/>
    <col collapsed="false" customWidth="true" hidden="false" outlineLevel="0" max="4" min="4" style="1" width="14"/>
    <col collapsed="false" customWidth="true" hidden="false" outlineLevel="0" max="5" min="5" style="1" width="26"/>
  </cols>
  <sheetData>
    <row r="1" customFormat="false" ht="25.5" hidden="false" customHeight="true" outlineLevel="0" collapsed="false">
      <c r="A1" s="14" t="s">
        <v>238</v>
      </c>
      <c r="B1" s="14"/>
      <c r="C1" s="14"/>
      <c r="D1" s="14"/>
      <c r="E1" s="14"/>
    </row>
    <row r="2" customFormat="false" ht="13.5" hidden="false" customHeight="true" outlineLevel="0" collapsed="false">
      <c r="A2" s="3" t="s">
        <v>239</v>
      </c>
      <c r="B2" s="3"/>
      <c r="C2" s="3"/>
      <c r="D2" s="3"/>
      <c r="E2" s="3"/>
    </row>
    <row r="3" customFormat="false" ht="15" hidden="false" customHeight="true" outlineLevel="0" collapsed="false">
      <c r="A3" s="15" t="s">
        <v>31</v>
      </c>
      <c r="B3" s="15" t="s">
        <v>240</v>
      </c>
      <c r="C3" s="15" t="s">
        <v>241</v>
      </c>
      <c r="D3" s="15" t="s">
        <v>242</v>
      </c>
      <c r="E3" s="15" t="s">
        <v>243</v>
      </c>
    </row>
    <row r="4" customFormat="false" ht="30" hidden="false" customHeight="true" outlineLevel="0" collapsed="false">
      <c r="A4" s="18" t="s">
        <v>244</v>
      </c>
      <c r="B4" s="17" t="s">
        <v>245</v>
      </c>
      <c r="C4" s="20" t="s">
        <v>246</v>
      </c>
      <c r="D4" s="18" t="s">
        <v>247</v>
      </c>
      <c r="E4" s="20" t="s">
        <v>248</v>
      </c>
    </row>
    <row r="5" customFormat="false" ht="30" hidden="false" customHeight="true" outlineLevel="0" collapsed="false">
      <c r="A5" s="18" t="s">
        <v>244</v>
      </c>
      <c r="B5" s="17" t="s">
        <v>249</v>
      </c>
      <c r="C5" s="20" t="s">
        <v>250</v>
      </c>
      <c r="D5" s="18" t="s">
        <v>247</v>
      </c>
      <c r="E5" s="17"/>
    </row>
    <row r="6" customFormat="false" ht="30" hidden="false" customHeight="true" outlineLevel="0" collapsed="false">
      <c r="A6" s="18" t="s">
        <v>244</v>
      </c>
      <c r="B6" s="17" t="s">
        <v>251</v>
      </c>
      <c r="C6" s="20" t="s">
        <v>252</v>
      </c>
      <c r="D6" s="18" t="s">
        <v>247</v>
      </c>
      <c r="E6" s="17"/>
    </row>
    <row r="7" customFormat="false" ht="30" hidden="false" customHeight="true" outlineLevel="0" collapsed="false">
      <c r="A7" s="18" t="s">
        <v>244</v>
      </c>
      <c r="B7" s="17" t="s">
        <v>253</v>
      </c>
      <c r="C7" s="20" t="s">
        <v>254</v>
      </c>
      <c r="D7" s="18" t="s">
        <v>247</v>
      </c>
      <c r="E7" s="17" t="s">
        <v>255</v>
      </c>
    </row>
    <row r="8" customFormat="false" ht="30" hidden="false" customHeight="true" outlineLevel="0" collapsed="false">
      <c r="A8" s="18" t="s">
        <v>244</v>
      </c>
      <c r="B8" s="17" t="s">
        <v>256</v>
      </c>
      <c r="C8" s="20" t="s">
        <v>257</v>
      </c>
      <c r="D8" s="18" t="s">
        <v>247</v>
      </c>
      <c r="E8" s="17" t="s">
        <v>258</v>
      </c>
    </row>
    <row r="9" customFormat="false" ht="30" hidden="false" customHeight="true" outlineLevel="0" collapsed="false">
      <c r="A9" s="18" t="s">
        <v>244</v>
      </c>
      <c r="B9" s="17" t="s">
        <v>259</v>
      </c>
      <c r="C9" s="20" t="s">
        <v>260</v>
      </c>
      <c r="D9" s="18" t="s">
        <v>247</v>
      </c>
      <c r="E9" s="17" t="s">
        <v>261</v>
      </c>
    </row>
    <row r="10" customFormat="false" ht="30" hidden="false" customHeight="true" outlineLevel="0" collapsed="false">
      <c r="A10" s="18" t="s">
        <v>244</v>
      </c>
      <c r="B10" s="17" t="s">
        <v>262</v>
      </c>
      <c r="C10" s="20" t="s">
        <v>263</v>
      </c>
      <c r="D10" s="18" t="s">
        <v>247</v>
      </c>
      <c r="E10" s="17"/>
    </row>
    <row r="11" customFormat="false" ht="30" hidden="false" customHeight="true" outlineLevel="0" collapsed="false">
      <c r="A11" s="18" t="s">
        <v>264</v>
      </c>
      <c r="B11" s="17" t="s">
        <v>265</v>
      </c>
      <c r="C11" s="17" t="s">
        <v>266</v>
      </c>
      <c r="D11" s="18" t="s">
        <v>247</v>
      </c>
      <c r="E11" s="17"/>
    </row>
    <row r="12" customFormat="false" ht="30" hidden="false" customHeight="true" outlineLevel="0" collapsed="false">
      <c r="A12" s="18" t="s">
        <v>264</v>
      </c>
      <c r="B12" s="17" t="s">
        <v>267</v>
      </c>
      <c r="C12" s="20" t="s">
        <v>268</v>
      </c>
      <c r="D12" s="18" t="s">
        <v>247</v>
      </c>
      <c r="E12" s="20" t="s">
        <v>269</v>
      </c>
    </row>
    <row r="13" customFormat="false" ht="30" hidden="false" customHeight="true" outlineLevel="0" collapsed="false">
      <c r="A13" s="18" t="s">
        <v>264</v>
      </c>
      <c r="B13" s="17" t="s">
        <v>270</v>
      </c>
      <c r="C13" s="20" t="s">
        <v>271</v>
      </c>
      <c r="D13" s="18" t="s">
        <v>247</v>
      </c>
      <c r="E13" s="17"/>
    </row>
    <row r="14" customFormat="false" ht="30" hidden="false" customHeight="true" outlineLevel="0" collapsed="false">
      <c r="A14" s="18" t="s">
        <v>264</v>
      </c>
      <c r="B14" s="17" t="s">
        <v>272</v>
      </c>
      <c r="C14" s="17" t="s">
        <v>273</v>
      </c>
      <c r="D14" s="18" t="s">
        <v>247</v>
      </c>
      <c r="E14" s="20" t="s">
        <v>274</v>
      </c>
    </row>
    <row r="15" customFormat="false" ht="30" hidden="false" customHeight="true" outlineLevel="0" collapsed="false">
      <c r="A15" s="18" t="s">
        <v>264</v>
      </c>
      <c r="B15" s="17" t="s">
        <v>275</v>
      </c>
      <c r="C15" s="20" t="s">
        <v>276</v>
      </c>
      <c r="D15" s="18" t="s">
        <v>247</v>
      </c>
      <c r="E15" s="17"/>
    </row>
    <row r="16" customFormat="false" ht="30" hidden="false" customHeight="true" outlineLevel="0" collapsed="false">
      <c r="A16" s="18" t="s">
        <v>264</v>
      </c>
      <c r="B16" s="17" t="s">
        <v>277</v>
      </c>
      <c r="C16" s="20" t="s">
        <v>278</v>
      </c>
      <c r="D16" s="37" t="s">
        <v>279</v>
      </c>
      <c r="E16" s="17" t="s">
        <v>280</v>
      </c>
    </row>
    <row r="17" customFormat="false" ht="30" hidden="false" customHeight="true" outlineLevel="0" collapsed="false">
      <c r="A17" s="18" t="s">
        <v>264</v>
      </c>
      <c r="B17" s="17" t="s">
        <v>281</v>
      </c>
      <c r="C17" s="20" t="s">
        <v>282</v>
      </c>
      <c r="D17" s="37" t="s">
        <v>279</v>
      </c>
      <c r="E17" s="17" t="s">
        <v>283</v>
      </c>
    </row>
    <row r="18" customFormat="false" ht="30" hidden="false" customHeight="true" outlineLevel="0" collapsed="false">
      <c r="A18" s="26" t="s">
        <v>284</v>
      </c>
      <c r="B18" s="20" t="s">
        <v>285</v>
      </c>
      <c r="C18" s="20" t="s">
        <v>286</v>
      </c>
      <c r="D18" s="18" t="s">
        <v>247</v>
      </c>
      <c r="E18" s="17" t="s">
        <v>287</v>
      </c>
    </row>
    <row r="19" customFormat="false" ht="30" hidden="false" customHeight="true" outlineLevel="0" collapsed="false">
      <c r="A19" s="26" t="s">
        <v>284</v>
      </c>
      <c r="B19" s="20" t="s">
        <v>288</v>
      </c>
      <c r="C19" s="20" t="s">
        <v>289</v>
      </c>
      <c r="D19" s="18" t="s">
        <v>247</v>
      </c>
      <c r="E19" s="20" t="s">
        <v>290</v>
      </c>
    </row>
    <row r="20" customFormat="false" ht="30" hidden="false" customHeight="true" outlineLevel="0" collapsed="false">
      <c r="A20" s="26" t="s">
        <v>291</v>
      </c>
      <c r="B20" s="17" t="s">
        <v>292</v>
      </c>
      <c r="C20" s="20" t="s">
        <v>293</v>
      </c>
      <c r="D20" s="18" t="s">
        <v>247</v>
      </c>
      <c r="E20" s="20" t="s">
        <v>294</v>
      </c>
    </row>
    <row r="21" customFormat="false" ht="30" hidden="false" customHeight="true" outlineLevel="0" collapsed="false">
      <c r="A21" s="26" t="s">
        <v>291</v>
      </c>
      <c r="B21" s="20" t="s">
        <v>295</v>
      </c>
      <c r="C21" s="20" t="s">
        <v>296</v>
      </c>
      <c r="D21" s="18" t="s">
        <v>247</v>
      </c>
      <c r="E21" s="17"/>
    </row>
    <row r="22" customFormat="false" ht="30" hidden="false" customHeight="true" outlineLevel="0" collapsed="false">
      <c r="A22" s="26" t="s">
        <v>291</v>
      </c>
      <c r="B22" s="17" t="s">
        <v>297</v>
      </c>
      <c r="C22" s="17" t="s">
        <v>298</v>
      </c>
      <c r="D22" s="37" t="s">
        <v>279</v>
      </c>
      <c r="E22" s="20" t="s">
        <v>299</v>
      </c>
    </row>
    <row r="23" customFormat="false" ht="30" hidden="false" customHeight="true" outlineLevel="0" collapsed="false">
      <c r="A23" s="26" t="s">
        <v>300</v>
      </c>
      <c r="B23" s="17" t="s">
        <v>301</v>
      </c>
      <c r="C23" s="17" t="s">
        <v>302</v>
      </c>
      <c r="D23" s="18" t="s">
        <v>303</v>
      </c>
      <c r="E23" s="17" t="s">
        <v>304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48"/>
    <col collapsed="false" customWidth="true" hidden="false" outlineLevel="0" max="4" min="4" style="1" width="26"/>
  </cols>
  <sheetData>
    <row r="1" customFormat="false" ht="25.5" hidden="false" customHeight="true" outlineLevel="0" collapsed="false">
      <c r="A1" s="14" t="s">
        <v>305</v>
      </c>
      <c r="B1" s="14"/>
      <c r="C1" s="14"/>
      <c r="D1" s="14"/>
    </row>
    <row r="2" customFormat="false" ht="13.5" hidden="false" customHeight="true" outlineLevel="0" collapsed="false">
      <c r="A2" s="3" t="s">
        <v>306</v>
      </c>
      <c r="B2" s="3"/>
      <c r="C2" s="3"/>
      <c r="D2" s="3"/>
    </row>
    <row r="3" customFormat="false" ht="15" hidden="false" customHeight="true" outlineLevel="0" collapsed="false">
      <c r="A3" s="15" t="s">
        <v>33</v>
      </c>
      <c r="B3" s="15" t="s">
        <v>307</v>
      </c>
      <c r="C3" s="15" t="s">
        <v>308</v>
      </c>
      <c r="D3" s="15" t="s">
        <v>243</v>
      </c>
    </row>
    <row r="4" customFormat="false" ht="48" hidden="false" customHeight="true" outlineLevel="0" collapsed="false">
      <c r="A4" s="38" t="s">
        <v>309</v>
      </c>
      <c r="B4" s="20" t="s">
        <v>310</v>
      </c>
      <c r="C4" s="20" t="s">
        <v>311</v>
      </c>
      <c r="D4" s="17" t="s">
        <v>312</v>
      </c>
    </row>
    <row r="5" customFormat="false" ht="48" hidden="false" customHeight="true" outlineLevel="0" collapsed="false">
      <c r="A5" s="38" t="s">
        <v>313</v>
      </c>
      <c r="B5" s="20" t="s">
        <v>314</v>
      </c>
      <c r="C5" s="20" t="s">
        <v>315</v>
      </c>
      <c r="D5" s="17" t="s">
        <v>316</v>
      </c>
    </row>
    <row r="6" customFormat="false" ht="48" hidden="false" customHeight="true" outlineLevel="0" collapsed="false">
      <c r="A6" s="38" t="s">
        <v>317</v>
      </c>
      <c r="B6" s="17" t="s">
        <v>318</v>
      </c>
      <c r="C6" s="17" t="s">
        <v>319</v>
      </c>
      <c r="D6" s="17" t="s">
        <v>320</v>
      </c>
    </row>
    <row r="7" customFormat="false" ht="48" hidden="false" customHeight="true" outlineLevel="0" collapsed="false">
      <c r="A7" s="38" t="s">
        <v>321</v>
      </c>
      <c r="B7" s="17" t="s">
        <v>322</v>
      </c>
      <c r="C7" s="17" t="s">
        <v>323</v>
      </c>
      <c r="D7" s="17" t="s">
        <v>324</v>
      </c>
    </row>
    <row r="8" customFormat="false" ht="48" hidden="false" customHeight="true" outlineLevel="0" collapsed="false">
      <c r="A8" s="38" t="s">
        <v>325</v>
      </c>
      <c r="B8" s="20" t="s">
        <v>326</v>
      </c>
      <c r="C8" s="20" t="s">
        <v>327</v>
      </c>
      <c r="D8" s="17" t="s">
        <v>328</v>
      </c>
    </row>
    <row r="9" customFormat="false" ht="48" hidden="false" customHeight="true" outlineLevel="0" collapsed="false">
      <c r="A9" s="38" t="s">
        <v>329</v>
      </c>
      <c r="B9" s="20" t="s">
        <v>330</v>
      </c>
      <c r="C9" s="20" t="s">
        <v>331</v>
      </c>
      <c r="D9" s="17" t="s">
        <v>332</v>
      </c>
    </row>
    <row r="10" customFormat="false" ht="48" hidden="false" customHeight="true" outlineLevel="0" collapsed="false">
      <c r="A10" s="38" t="s">
        <v>333</v>
      </c>
      <c r="B10" s="20" t="s">
        <v>334</v>
      </c>
      <c r="C10" s="20" t="s">
        <v>335</v>
      </c>
      <c r="D10" s="17" t="s">
        <v>336</v>
      </c>
    </row>
    <row r="11" customFormat="false" ht="48" hidden="false" customHeight="true" outlineLevel="0" collapsed="false">
      <c r="A11" s="38" t="s">
        <v>337</v>
      </c>
      <c r="B11" s="20" t="s">
        <v>338</v>
      </c>
      <c r="C11" s="17" t="s">
        <v>339</v>
      </c>
      <c r="D11" s="17" t="s">
        <v>340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2026-07-27T07:00:30Z</dcterms:created>
  <dc:creator>openpyxl</dc:creator>
  <dc:description/>
  <dc:language>en-US</dc:language>
  <cp:lastModifiedBy/>
  <dcterms:modified xsi:type="dcterms:W3CDTF">2026-07-27T16:42:51Z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